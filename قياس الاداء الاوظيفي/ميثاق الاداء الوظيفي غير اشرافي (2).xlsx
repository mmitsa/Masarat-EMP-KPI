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T\Desktop\تقييم الاداء\"/>
    </mc:Choice>
  </mc:AlternateContent>
  <xr:revisionPtr revIDLastSave="0" documentId="8_{1DA57A5A-0FD8-4F5F-8197-7493E6A6DB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ميثاق الوظائف غير الاشرافية" sheetId="1" r:id="rId1"/>
  </sheets>
  <definedNames>
    <definedName name="_xlnm.Print_Area" localSheetId="0">'ميثاق الوظائف غير الاشرافية'!$A$1:$J$92</definedName>
  </definedNames>
  <calcPr calcId="181029"/>
</workbook>
</file>

<file path=xl/calcChain.xml><?xml version="1.0" encoding="utf-8"?>
<calcChain xmlns="http://schemas.openxmlformats.org/spreadsheetml/2006/main">
  <c r="B55" i="1" l="1"/>
  <c r="C55" i="1"/>
  <c r="D55" i="1"/>
  <c r="B56" i="1"/>
  <c r="C56" i="1"/>
  <c r="D56" i="1"/>
  <c r="I56" i="1"/>
  <c r="D47" i="1"/>
  <c r="D48" i="1"/>
  <c r="D46" i="1"/>
  <c r="A47" i="1"/>
  <c r="A48" i="1"/>
  <c r="A46" i="1"/>
  <c r="D52" i="1"/>
  <c r="D53" i="1"/>
  <c r="D54" i="1"/>
  <c r="C52" i="1"/>
  <c r="C53" i="1"/>
  <c r="C54" i="1"/>
  <c r="B52" i="1"/>
  <c r="B53" i="1"/>
  <c r="B54" i="1"/>
  <c r="I55" i="1" l="1"/>
  <c r="I54" i="1"/>
  <c r="I52" i="1"/>
  <c r="I53" i="1"/>
  <c r="B59" i="1" l="1"/>
  <c r="C59" i="1"/>
  <c r="D59" i="1"/>
  <c r="E59" i="1"/>
  <c r="G59" i="1" s="1"/>
  <c r="C37" i="1"/>
  <c r="H16" i="1" l="1"/>
  <c r="B51" i="1"/>
  <c r="C51" i="1"/>
  <c r="D51" i="1"/>
  <c r="I58" i="1"/>
  <c r="I59" i="1"/>
  <c r="C63" i="1"/>
  <c r="C66" i="1"/>
  <c r="C69" i="1"/>
  <c r="C72" i="1"/>
  <c r="C75" i="1"/>
  <c r="C77" i="1"/>
  <c r="I81" i="1"/>
  <c r="I57" i="1" l="1"/>
  <c r="I51" i="1"/>
  <c r="D60" i="1"/>
  <c r="C86" i="1"/>
  <c r="I86" i="1" s="1"/>
  <c r="H60" i="1" l="1"/>
  <c r="D8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Hadel1</author>
  </authors>
  <commentList>
    <comment ref="B6" authorId="0" shapeId="0" xr:uid="{00000000-0006-0000-0000-000001000000}">
      <text>
        <r>
          <rPr>
            <sz val="9"/>
            <color indexed="81"/>
            <rFont val="Tahoma"/>
            <charset val="178"/>
          </rPr>
          <t xml:space="preserve">عدم وجود هدف يكون الناتج المستهدف=1 والوزن النسبي= (0%)
</t>
        </r>
      </text>
    </comment>
    <comment ref="B7" authorId="0" shapeId="0" xr:uid="{00000000-0006-0000-0000-000002000000}">
      <text>
        <r>
          <rPr>
            <sz val="9"/>
            <color indexed="81"/>
            <rFont val="Tahoma"/>
            <charset val="178"/>
          </rPr>
          <t xml:space="preserve">يجب أن تكون الأهدف من 4-6(محدده, قابله للقياس كمياً, قابلة لتحقيقها, ذات صله بعمل الموظف, مقيده بزمن معلوم البداية والنهاية) وعدم وجود هدف يكون الناتج امستهدف=1 والوزن النسبي=(0%) </t>
        </r>
      </text>
    </comment>
    <comment ref="G7" authorId="0" shapeId="0" xr:uid="{00000000-0006-0000-0000-000003000000}">
      <text>
        <r>
          <rPr>
            <sz val="9"/>
            <color indexed="81"/>
            <rFont val="Tahoma"/>
            <charset val="178"/>
          </rPr>
          <t xml:space="preserve">يجب أن يكون معيار القياس معياراً كمياً قابل للعد
</t>
        </r>
      </text>
    </comment>
    <comment ref="H7" authorId="0" shapeId="0" xr:uid="{00000000-0006-0000-0000-000004000000}">
      <text>
        <r>
          <rPr>
            <sz val="9"/>
            <color indexed="81"/>
            <rFont val="Tahoma"/>
            <charset val="178"/>
          </rPr>
          <t xml:space="preserve">
وضع نسبة مئوية قيمتها من 15% الى 45%</t>
        </r>
      </text>
    </comment>
    <comment ref="I7" authorId="0" shapeId="0" xr:uid="{00000000-0006-0000-0000-000005000000}">
      <text>
        <r>
          <rPr>
            <sz val="9"/>
            <color indexed="81"/>
            <rFont val="Tahoma"/>
            <charset val="178"/>
          </rPr>
          <t xml:space="preserve">
أدخل رقماً يمثل المقدار المستهدف لتحقيقه نهاية السنة من هذا الهدف </t>
        </r>
      </text>
    </comment>
    <comment ref="B8" authorId="0" shapeId="0" xr:uid="{00000000-0006-0000-0000-000006000000}">
      <text>
        <r>
          <rPr>
            <sz val="9"/>
            <color indexed="81"/>
            <rFont val="Tahoma"/>
            <charset val="178"/>
          </rPr>
          <t xml:space="preserve">يجب أن تكون الأهدف من 4-6(محدده, قابله للقياس كمياً, قابلة لتحقيقها, ذات صله بعمل الموظف, مقيده بزمن معلوم البداية والنهاية) وعدم وجود هدف يكون الناتج امستهدف=1 والوزن النسبي=(0%) 
</t>
        </r>
      </text>
    </comment>
    <comment ref="B9" authorId="0" shapeId="0" xr:uid="{00000000-0006-0000-0000-000007000000}">
      <text>
        <r>
          <rPr>
            <sz val="9"/>
            <color indexed="81"/>
            <rFont val="Tahoma"/>
            <charset val="178"/>
          </rPr>
          <t xml:space="preserve">يجب أن تكون الأهدف من 4-6(محدده, قابله للقياس كمياً, قابلة لتحقيقها, ذات صله بعمل الموظف, مقيده بزمن معلوم البداية والنهاية) وعدم وجود هدف يكون الناتج امستهدف=1 والوزن النسبي=(0%) 
</t>
        </r>
      </text>
    </comment>
    <comment ref="B10" authorId="0" shapeId="0" xr:uid="{00000000-0006-0000-0000-000008000000}">
      <text>
        <r>
          <rPr>
            <sz val="9"/>
            <color indexed="81"/>
            <rFont val="Tahoma"/>
            <charset val="178"/>
          </rPr>
          <t xml:space="preserve">يجب أن تكون الأهدف من 4-6(محدده, قابله للقياس كمياً, قابلة لتحقيقها, ذات صله بعمل الموظف, مقيده بزمن معلوم البداية والنهاية) وعدم وجود هدف يكون الناتج امستهدف=1 والوزن النسبي=(0%) 
</t>
        </r>
      </text>
    </comment>
    <comment ref="B11" authorId="0" shapeId="0" xr:uid="{00000000-0006-0000-0000-000009000000}">
      <text>
        <r>
          <rPr>
            <sz val="9"/>
            <color indexed="81"/>
            <rFont val="Tahoma"/>
            <charset val="178"/>
          </rPr>
          <t xml:space="preserve">يجب أن تكون الأهدف من 4-6(محدده, قابله للقياس كمياً, قابلة لتحقيقها, ذات صله بعمل الموظف, مقيده بزمن معلوم البداية والنهاية) وعدم وجود هدف يكون الناتج امستهدف=1 والوزن النسبي=(0%) 
</t>
        </r>
      </text>
    </comment>
    <comment ref="B12" authorId="0" shapeId="0" xr:uid="{00000000-0006-0000-0000-00000A000000}">
      <text>
        <r>
          <rPr>
            <sz val="9"/>
            <color indexed="81"/>
            <rFont val="Tahoma"/>
            <charset val="178"/>
          </rPr>
          <t xml:space="preserve">يجب أن تكون الأهدف من 4-6(محدده, قابله للقياس كمياً, قابلة لتحقيقها, ذات صله بعمل الموظف, مقيده بزمن معلوم البداية والنهاية) وعدم وجود هدف يكون الناتج امستهدف=1 والوزن النسبي=(0%) 
</t>
        </r>
      </text>
    </comment>
    <comment ref="C19" authorId="0" shapeId="0" xr:uid="{00000000-0006-0000-0000-00000B000000}">
      <text>
        <r>
          <rPr>
            <sz val="9"/>
            <color indexed="81"/>
            <rFont val="Tahoma"/>
            <charset val="178"/>
          </rPr>
          <t xml:space="preserve">
تنبيه:
وضع نسبة مئوية قيمتها 10% أو 15% أو 20%</t>
        </r>
      </text>
    </comment>
    <comment ref="C22" authorId="0" shapeId="0" xr:uid="{00000000-0006-0000-0000-00000C000000}">
      <text>
        <r>
          <rPr>
            <sz val="9"/>
            <color indexed="81"/>
            <rFont val="Tahoma"/>
            <charset val="178"/>
          </rPr>
          <t xml:space="preserve">
تنبيه:
وضع نسبة مئوية قيمتها 10% أو 15% أو 20%</t>
        </r>
      </text>
    </comment>
    <comment ref="C25" authorId="0" shapeId="0" xr:uid="{00000000-0006-0000-0000-00000D000000}">
      <text>
        <r>
          <rPr>
            <sz val="9"/>
            <color indexed="81"/>
            <rFont val="Tahoma"/>
            <charset val="178"/>
          </rPr>
          <t xml:space="preserve">تنبيه:
وضع نسبة مئوية قيمتها 10% أو 15% أو 20%
</t>
        </r>
      </text>
    </comment>
    <comment ref="C28" authorId="0" shapeId="0" xr:uid="{00000000-0006-0000-0000-00000E000000}">
      <text>
        <r>
          <rPr>
            <sz val="9"/>
            <color indexed="81"/>
            <rFont val="Tahoma"/>
            <charset val="178"/>
          </rPr>
          <t xml:space="preserve">تنبيه:
وضع نسبة مئوية قيمتها 10% أو 15% أو 20%
</t>
        </r>
      </text>
    </comment>
    <comment ref="C31" authorId="0" shapeId="0" xr:uid="{00000000-0006-0000-0000-00000F000000}">
      <text>
        <r>
          <rPr>
            <sz val="9"/>
            <color indexed="81"/>
            <rFont val="Tahoma"/>
            <charset val="178"/>
          </rPr>
          <t xml:space="preserve">تنبيه:
وضع نسبة مئوية قيمتها 10% أو 15% أو 20%
</t>
        </r>
      </text>
    </comment>
    <comment ref="C33" authorId="0" shapeId="0" xr:uid="{00000000-0006-0000-0000-000010000000}">
      <text>
        <r>
          <rPr>
            <sz val="9"/>
            <color indexed="81"/>
            <rFont val="Tahoma"/>
            <charset val="178"/>
          </rPr>
          <t xml:space="preserve">تنبيه:
وضع نسبة مئوية قيمتها 10% أو 15% أو 20%
</t>
        </r>
      </text>
    </comment>
    <comment ref="F51" authorId="0" shapeId="0" xr:uid="{00000000-0006-0000-0000-000011000000}">
      <text>
        <r>
          <rPr>
            <sz val="9"/>
            <color indexed="81"/>
            <rFont val="Tahoma"/>
            <charset val="178"/>
          </rPr>
          <t xml:space="preserve">
تنبية: 
يتم ادخال المقدار المحقق من الكمية المتفق عليها في الناتج المستهدف 
</t>
        </r>
      </text>
    </comment>
    <comment ref="F52" authorId="0" shapeId="0" xr:uid="{00000000-0006-0000-0000-000012000000}">
      <text>
        <r>
          <rPr>
            <b/>
            <sz val="9"/>
            <color indexed="81"/>
            <rFont val="Tahoma"/>
            <charset val="178"/>
          </rPr>
          <t>تنبية: 
يتم ادخال المقدار المحقق من الكمية المتفق عليها في الناتج المستهدف</t>
        </r>
        <r>
          <rPr>
            <sz val="9"/>
            <color indexed="81"/>
            <rFont val="Tahoma"/>
            <charset val="178"/>
          </rPr>
          <t xml:space="preserve">
</t>
        </r>
      </text>
    </comment>
    <comment ref="F53" authorId="0" shapeId="0" xr:uid="{00000000-0006-0000-0000-000013000000}">
      <text>
        <r>
          <rPr>
            <b/>
            <sz val="9"/>
            <color indexed="81"/>
            <rFont val="Tahoma"/>
            <charset val="178"/>
          </rPr>
          <t>تنبية: 
يتم ادخال المقدار المحقق من الكمية المتفق عليها في الناتج المستهدف</t>
        </r>
      </text>
    </comment>
  </commentList>
</comments>
</file>

<file path=xl/sharedStrings.xml><?xml version="1.0" encoding="utf-8"?>
<sst xmlns="http://schemas.openxmlformats.org/spreadsheetml/2006/main" count="134" uniqueCount="112">
  <si>
    <t xml:space="preserve">توقيع مدير عام ادارة الموارد البشرية: </t>
  </si>
  <si>
    <t xml:space="preserve">توقيع المدير(المقيم): </t>
  </si>
  <si>
    <t xml:space="preserve"> توقيع الموظف:</t>
  </si>
  <si>
    <t xml:space="preserve"> التاريخ :        /      /      </t>
  </si>
  <si>
    <t>نوصي المقيم بحفظ نسخة بصيغة (PDF) لجميع الموظفين .</t>
  </si>
  <si>
    <t xml:space="preserve"> التقدير العام لأداء الموظف </t>
  </si>
  <si>
    <t>اجمالى التقدير الموزون</t>
  </si>
  <si>
    <t>يجب ان يكون مجموع الوزن  100%</t>
  </si>
  <si>
    <t>• يوفر ويدعم فرص تطوير المرؤوسين .</t>
  </si>
  <si>
    <t>•   يفوض الصلاحيات و يتابع النتائج  .</t>
  </si>
  <si>
    <t>• يفكر بمنطقية و ابداع دون التأثر بتحيزاته الشخصية.</t>
  </si>
  <si>
    <t>•   يدعم و يشجع فريقه على تحقيق اهدافه، حتى في الظروف الصعبة  .</t>
  </si>
  <si>
    <t>• مرن وقادر على تنفيذ أعمال هامة فى ظروف تنطوى على قدر كبير من المخاطرة وعدم اليقين  .</t>
  </si>
  <si>
    <t>القيادة</t>
  </si>
  <si>
    <t>•   يركز على "خدمة العملاء" عند تنفيذ اعماله .</t>
  </si>
  <si>
    <t>•  يلتزم بمواعيد العمل و يكون متواجدا عند الحاجة اليه .</t>
  </si>
  <si>
    <t>• يتطلُّع إلى مستوى أعلى من الإنجاز والابتكار عند تنفيذ العمل .</t>
  </si>
  <si>
    <t>• لدية الأستعداد للتغلب على أي تحدي .</t>
  </si>
  <si>
    <t>الارتباط الوظيفى</t>
  </si>
  <si>
    <t>• يقدم آراء مساعدة للآخرين ومشاركة النُصح والاقتراحات .</t>
  </si>
  <si>
    <t>• يسعى إلى تحسين احتياجات التطوير الخاصة به باستمرار .</t>
  </si>
  <si>
    <t>تطوير الموظفين</t>
  </si>
  <si>
    <t>• مبادرو قادر على تقديم بدائل و حلول عند تنفيذه لمهامه.</t>
  </si>
  <si>
    <t>• يمكن الإعتماد عليه , وينفذ مهامه في وقتها بمستوى عال من الجودة  .</t>
  </si>
  <si>
    <t>تحقيق النتائج</t>
  </si>
  <si>
    <t>• ينصت للآخرين بعناية .</t>
  </si>
  <si>
    <t>• يستخدم التواصل الشفهي الواضح والفعال .</t>
  </si>
  <si>
    <t>• يستخدم التواصل المكتوب الواضح والفعال .</t>
  </si>
  <si>
    <t>التواصل</t>
  </si>
  <si>
    <t>• يستجيب لطلبات الدعم و المساندة من الوحدات التنظيمية فى جهة عمله  .</t>
  </si>
  <si>
    <t>•   يسعى الى الإستفادة من اراء الأخرين من خارج ادارته ،و تهيئة الأخرين لدعم الأعمال التى يقوم بها من خلال بناء علاقات داعمة معهم  .</t>
  </si>
  <si>
    <t>•  يشارك المعلومات بانفتاح وفق متطلبات العمل .</t>
  </si>
  <si>
    <t>التعاون</t>
  </si>
  <si>
    <t>حس المسؤولية</t>
  </si>
  <si>
    <t>التقدير الموزون</t>
  </si>
  <si>
    <t>اختر الرقم
 (1-5)</t>
  </si>
  <si>
    <t>الوصف السلوكي</t>
  </si>
  <si>
    <t>الوزن النسبى</t>
  </si>
  <si>
    <t>الجدارات</t>
  </si>
  <si>
    <t>م</t>
  </si>
  <si>
    <t xml:space="preserve">ثانياً : الجدارات </t>
  </si>
  <si>
    <t>يجب ان يكون مجموع الوزن النسبي 100%</t>
  </si>
  <si>
    <t xml:space="preserve">التقدير       ( النتيجة من 1-5) </t>
  </si>
  <si>
    <t>الفرق بين الناتجين</t>
  </si>
  <si>
    <t>الناتج الفعلي</t>
  </si>
  <si>
    <t>الناتج المستهدف</t>
  </si>
  <si>
    <t>الوزن النسبي</t>
  </si>
  <si>
    <t>معيار القياس</t>
  </si>
  <si>
    <t xml:space="preserve"> الهدف</t>
  </si>
  <si>
    <t>أولاً : الأهداف</t>
  </si>
  <si>
    <t>نموذج تقييم الاداء الوظيفي</t>
  </si>
  <si>
    <t>* نوصي المقيم بحفظ نسخة بصيغة (PDF) لجميع الموظفين .</t>
  </si>
  <si>
    <t>يركز على "خدمة العملاء" عند تنفيذ اعماله .</t>
  </si>
  <si>
    <t>يلتزم بمواعيد العمل و يكون متواجدا عند الحاجة اليه .</t>
  </si>
  <si>
    <t>يتطلُّع إلى مستوى أعلى من الإنجاز والابتكار عند تنفيذ العمل.</t>
  </si>
  <si>
    <t>لدية الاستعداد لمواجهة تحديات العمل .</t>
  </si>
  <si>
    <t>الارتباط الوظيفي</t>
  </si>
  <si>
    <t xml:space="preserve">يساعد الأخرين على تطوير انفسهم </t>
  </si>
  <si>
    <t>يسعى إلى التعلم وتطوير نفسه باستمرار .</t>
  </si>
  <si>
    <t>مبادر ويعمل بدون توجيه من رئيسه عند تنفيذه لمهامه.</t>
  </si>
  <si>
    <t>يمكن الاعتماد عليه , وينفذ مهامه في وقتها بمستوى عال من الجودة .</t>
  </si>
  <si>
    <r>
      <t>عدم إظهار مستوى مقبول من الجدارات المطلوبة للوظيفة.</t>
    </r>
    <r>
      <rPr>
        <sz val="12"/>
        <color rgb="FF000000"/>
        <rFont val="Sakkal Majalla"/>
      </rPr>
      <t xml:space="preserve"> </t>
    </r>
  </si>
  <si>
    <t>يستطيع القيام بمهام متعددة و تحديد أولوياتها  حسب اهميتها النسبية.</t>
  </si>
  <si>
    <t>الأداء أقل من التوقعات بشكل دائم، ولم يحقق معظم أهدافه و لم يصل في أي منها الى المستوى المطلوب.</t>
  </si>
  <si>
    <t>غير مرضى</t>
  </si>
  <si>
    <t>ينصت للآخرين بعناية .</t>
  </si>
  <si>
    <t>الجدارات المطلوبة للوظيفة لا تتسم بالثبات الكافي</t>
  </si>
  <si>
    <t>يستخدم التواصل الشفهي الواضح والفعال.</t>
  </si>
  <si>
    <t>الأداء اقل من التوقعات، و حقق بعضا من اهدافه بالمستوى المطلوب.</t>
  </si>
  <si>
    <t>مرضى</t>
  </si>
  <si>
    <t>يستخدم التواصل المكتوب الواضح والفعال.</t>
  </si>
  <si>
    <t>إظهار الجدارات في مستويات قريبة من  المستويات المطلوبة للوظيفة</t>
  </si>
  <si>
    <t>يستجيب لطلبات الدعم و المساندة من الوحدات التنظيمية في جهة عمله.</t>
  </si>
  <si>
    <t xml:space="preserve">حقق معظم أهدافه بالمستوى المطلوب </t>
  </si>
  <si>
    <t>جيد</t>
  </si>
  <si>
    <t>يسعى الى الاستفادة من اراء الأخرين من خارج ادارته ،و تهيئة الأخرين لدعم الأعمال التي يقوم بها من خلال بناء علاقات داعمة معهم  .</t>
  </si>
  <si>
    <t>إظهار الجدارات في مستويات تتوافق بدرجة كبيرة مع المستويات المطلوبة للوظيفة</t>
  </si>
  <si>
    <t>يشارك المعلومات بانفتاح وفق متطلبات العمل.</t>
  </si>
  <si>
    <t>حقق  كل أهدافة بالمستوى المطلوب.</t>
  </si>
  <si>
    <t>جيد جدا</t>
  </si>
  <si>
    <t>يفصح عن ما يواجهة من تحديات بشفافية.</t>
  </si>
  <si>
    <t>إظهار كافة الجدارات في مستويات أعلى من تلك المطلوبة للوظيفة.</t>
  </si>
  <si>
    <t>يفهم دوره، و كيفية ارتباطه بالأهداف العامة لجهة عمله.</t>
  </si>
  <si>
    <t>حقق  كل أهدافه وتخطى المستهدفات المحددة بالمستوى المطلوب.</t>
  </si>
  <si>
    <t>ممتاز</t>
  </si>
  <si>
    <t>يتحمل مسؤولية أعماله و قراراته، ولا يلقى اللوم على الآخرين.</t>
  </si>
  <si>
    <t>وصف التقدير</t>
  </si>
  <si>
    <t>التقدير</t>
  </si>
  <si>
    <t>التصنيف</t>
  </si>
  <si>
    <t>اختر مستوى الجدارة المطلوبة</t>
  </si>
  <si>
    <t>الوصف السلوكي للجدارات</t>
  </si>
  <si>
    <t>الجدارة</t>
  </si>
  <si>
    <t xml:space="preserve">مقياس التقدير العام لأداء الموظف - الوظيفة غير الإشرافية </t>
  </si>
  <si>
    <t>المجموع</t>
  </si>
  <si>
    <t>ملاحظة : الرجاء تعبئة الخلايا ذات اللون الابيض فقط</t>
  </si>
  <si>
    <t>الهدف</t>
  </si>
  <si>
    <t>• يتحمل مسؤولية أعماله و قراراته، ولا يلقى اللوم على الآخرين.</t>
  </si>
  <si>
    <t>• يفصح عن ما يواجهه من تحديات بشفافية .</t>
  </si>
  <si>
    <t>•   يفهم دوره، وكيفية ارتباطه بالأهداف العامة لجهة عمله .</t>
  </si>
  <si>
    <t>•    يستطيع القيام بمهام متعددة و تحديد أولوياتها  بفاعلية .</t>
  </si>
  <si>
    <t>ميثاق الأداء للموظف على الوظيفة غير الإشرافية</t>
  </si>
  <si>
    <t>*هذا النموذج مؤقت لحين الانتهاء من اتمة نظام الاداء الوظيفي على نظام الموارد البشرية .</t>
  </si>
  <si>
    <t>توقيع المعتمد :</t>
  </si>
  <si>
    <t>التقييم النهائي</t>
  </si>
  <si>
    <t xml:space="preserve">ملاحظة: </t>
  </si>
  <si>
    <t>تحدد كل جهة حكومية الوزن النسبي لكل جدارة (بحيث لا يتجاوز الوزن النسبي لجدارة القيادة 40% ولا يتجاوز الوزن النسبي لأي جدارة اخرى نسبة 20 %).</t>
  </si>
  <si>
    <t xml:space="preserve">الرقم الوظيفي: </t>
  </si>
  <si>
    <t xml:space="preserve">المدير (المقيم): </t>
  </si>
  <si>
    <t xml:space="preserve">الإدارة /القسم: </t>
  </si>
  <si>
    <t xml:space="preserve">الوكالة / الادارة العامة: </t>
  </si>
  <si>
    <t xml:space="preserve">اسم الموظف: </t>
  </si>
  <si>
    <t xml:space="preserve">المسمى الوظيفي: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</si>
</sst>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3"/>
      <color theme="1"/>
      <name val="Arial"/>
      <family val="2"/>
    </font>
    <font>
      <sz val="13"/>
      <color rgb="FF000000"/>
      <name val="Arial"/>
      <family val="2"/>
    </font>
    <font>
      <b/>
      <sz val="11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2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0"/>
      <color theme="1"/>
      <name val="Arial"/>
      <family val="2"/>
    </font>
    <font>
      <sz val="11"/>
      <color theme="6" tint="0.59999389629810485"/>
      <name val="Arial"/>
      <family val="2"/>
      <charset val="178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2"/>
      <color theme="1"/>
      <name val="Simplified Arabic"/>
      <family val="1"/>
    </font>
    <font>
      <sz val="12"/>
      <color rgb="FF000000"/>
      <name val="Sakkal Majalla"/>
    </font>
    <font>
      <b/>
      <sz val="12"/>
      <color theme="1"/>
      <name val="Simplified Arabic"/>
      <family val="1"/>
    </font>
    <font>
      <b/>
      <sz val="14"/>
      <color theme="1"/>
      <name val="Simplified Arabic"/>
      <family val="1"/>
    </font>
    <font>
      <b/>
      <sz val="14"/>
      <name val="Arial"/>
      <family val="2"/>
      <scheme val="minor"/>
    </font>
    <font>
      <b/>
      <sz val="18"/>
      <color rgb="FF000000"/>
      <name val="Arial"/>
      <family val="2"/>
    </font>
    <font>
      <b/>
      <sz val="22"/>
      <color rgb="FFFF0000"/>
      <name val="Arial"/>
      <family val="2"/>
      <scheme val="minor"/>
    </font>
    <font>
      <b/>
      <sz val="16"/>
      <color rgb="FF000000"/>
      <name val="Arial"/>
      <family val="2"/>
    </font>
    <font>
      <b/>
      <sz val="12"/>
      <color rgb="FF000000"/>
      <name val="Arial"/>
      <family val="2"/>
    </font>
    <font>
      <b/>
      <sz val="9"/>
      <color theme="1"/>
      <name val="Arial"/>
      <family val="2"/>
      <scheme val="minor"/>
    </font>
    <font>
      <b/>
      <sz val="18"/>
      <color theme="1"/>
      <name val="Times New Roman"/>
      <family val="1"/>
    </font>
    <font>
      <b/>
      <sz val="12"/>
      <color theme="6" tint="0.39997558519241921"/>
      <name val="Arial"/>
      <family val="2"/>
      <scheme val="minor"/>
    </font>
    <font>
      <sz val="11"/>
      <color theme="6" tint="0.39997558519241921"/>
      <name val="Arial"/>
      <family val="2"/>
      <scheme val="minor"/>
    </font>
    <font>
      <sz val="11"/>
      <color theme="6" tint="0.39997558519241921"/>
      <name val="Arial"/>
      <family val="2"/>
      <charset val="178"/>
      <scheme val="minor"/>
    </font>
    <font>
      <b/>
      <sz val="12"/>
      <color theme="6" tint="0.39997558519241921"/>
      <name val="Arial"/>
      <family val="2"/>
      <charset val="178"/>
      <scheme val="minor"/>
    </font>
    <font>
      <b/>
      <sz val="8"/>
      <name val="Arial"/>
      <family val="2"/>
      <scheme val="minor"/>
    </font>
    <font>
      <b/>
      <sz val="8"/>
      <color theme="1"/>
      <name val="Arial"/>
      <family val="2"/>
      <scheme val="minor"/>
    </font>
    <font>
      <b/>
      <sz val="11"/>
      <color theme="1"/>
      <name val="Simplified Arabic"/>
      <family val="1"/>
    </font>
    <font>
      <sz val="9"/>
      <color indexed="81"/>
      <name val="Tahoma"/>
      <charset val="178"/>
    </font>
    <font>
      <b/>
      <sz val="9"/>
      <color indexed="81"/>
      <name val="Tahoma"/>
      <charset val="178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DotDot">
        <color indexed="64"/>
      </top>
      <bottom style="dashDotDot">
        <color indexed="64"/>
      </bottom>
      <diagonal/>
    </border>
    <border>
      <left/>
      <right style="medium">
        <color indexed="64"/>
      </right>
      <top style="dashDotDot">
        <color indexed="64"/>
      </top>
      <bottom style="medium">
        <color indexed="64"/>
      </bottom>
      <diagonal/>
    </border>
    <border>
      <left/>
      <right/>
      <top style="dashDotDot">
        <color indexed="64"/>
      </top>
      <bottom style="medium">
        <color indexed="64"/>
      </bottom>
      <diagonal/>
    </border>
    <border>
      <left style="medium">
        <color indexed="64"/>
      </left>
      <right/>
      <top style="dashDotDot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dashDotDot">
        <color indexed="64"/>
      </top>
      <bottom style="dashDotDot">
        <color indexed="64"/>
      </bottom>
      <diagonal/>
    </border>
    <border>
      <left/>
      <right/>
      <top style="dashDotDot">
        <color indexed="64"/>
      </top>
      <bottom style="dashDotDot">
        <color indexed="64"/>
      </bottom>
      <diagonal/>
    </border>
    <border>
      <left style="medium">
        <color indexed="64"/>
      </left>
      <right/>
      <top style="dashDotDot">
        <color indexed="64"/>
      </top>
      <bottom style="dashDotDot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DotDot">
        <color indexed="64"/>
      </bottom>
      <diagonal/>
    </border>
    <border>
      <left/>
      <right style="medium">
        <color indexed="64"/>
      </right>
      <top style="medium">
        <color indexed="64"/>
      </top>
      <bottom style="dashDotDot">
        <color indexed="64"/>
      </bottom>
      <diagonal/>
    </border>
    <border>
      <left/>
      <right/>
      <top style="medium">
        <color indexed="64"/>
      </top>
      <bottom style="dashDotDot">
        <color indexed="64"/>
      </bottom>
      <diagonal/>
    </border>
    <border>
      <left style="medium">
        <color indexed="64"/>
      </left>
      <right/>
      <top style="medium">
        <color indexed="64"/>
      </top>
      <bottom style="dashDotDot">
        <color indexed="64"/>
      </bottom>
      <diagonal/>
    </border>
    <border>
      <left style="medium">
        <color indexed="64"/>
      </left>
      <right style="medium">
        <color indexed="64"/>
      </right>
      <top style="dashDotDot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DotDot">
        <color indexed="64"/>
      </top>
      <bottom/>
      <diagonal/>
    </border>
    <border>
      <left/>
      <right style="medium">
        <color indexed="64"/>
      </right>
      <top style="dashDotDot">
        <color indexed="64"/>
      </top>
      <bottom/>
      <diagonal/>
    </border>
    <border>
      <left/>
      <right/>
      <top style="dashDotDot">
        <color indexed="64"/>
      </top>
      <bottom/>
      <diagonal/>
    </border>
    <border>
      <left style="medium">
        <color indexed="64"/>
      </left>
      <right/>
      <top style="dashDotDot">
        <color indexed="64"/>
      </top>
      <bottom/>
      <diagonal/>
    </border>
    <border>
      <left/>
      <right style="medium">
        <color indexed="64"/>
      </right>
      <top/>
      <bottom style="dashDotDot">
        <color indexed="64"/>
      </bottom>
      <diagonal/>
    </border>
    <border>
      <left/>
      <right/>
      <top/>
      <bottom style="dashDotDot">
        <color indexed="64"/>
      </bottom>
      <diagonal/>
    </border>
    <border>
      <left style="medium">
        <color indexed="64"/>
      </left>
      <right/>
      <top/>
      <bottom style="dashDotDot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ashDot">
        <color indexed="64"/>
      </top>
      <bottom style="dashDot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8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0" fillId="7" borderId="0" xfId="0" applyFill="1"/>
    <xf numFmtId="0" fontId="10" fillId="5" borderId="2" xfId="0" applyFont="1" applyFill="1" applyBorder="1" applyAlignment="1">
      <alignment horizontal="center" vertical="center"/>
    </xf>
    <xf numFmtId="9" fontId="10" fillId="4" borderId="3" xfId="1" applyFont="1" applyFill="1" applyBorder="1" applyAlignment="1">
      <alignment horizontal="center" vertical="center" readingOrder="2"/>
    </xf>
    <xf numFmtId="0" fontId="0" fillId="4" borderId="30" xfId="0" applyFill="1" applyBorder="1" applyAlignment="1">
      <alignment horizontal="center" vertical="center"/>
    </xf>
    <xf numFmtId="0" fontId="10" fillId="6" borderId="30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9" fontId="10" fillId="6" borderId="3" xfId="1" applyFont="1" applyFill="1" applyBorder="1" applyAlignment="1">
      <alignment horizontal="center" vertical="center" readingOrder="2"/>
    </xf>
    <xf numFmtId="0" fontId="14" fillId="6" borderId="30" xfId="0" applyFont="1" applyFill="1" applyBorder="1" applyAlignment="1">
      <alignment horizontal="center" vertical="center" wrapText="1"/>
    </xf>
    <xf numFmtId="0" fontId="15" fillId="2" borderId="0" xfId="0" applyFont="1" applyFill="1"/>
    <xf numFmtId="0" fontId="11" fillId="4" borderId="30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/>
    </xf>
    <xf numFmtId="0" fontId="10" fillId="4" borderId="30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right" vertical="top" readingOrder="2"/>
    </xf>
    <xf numFmtId="0" fontId="16" fillId="0" borderId="8" xfId="0" applyFont="1" applyBorder="1" applyAlignment="1">
      <alignment horizontal="justify" vertical="center" wrapText="1"/>
    </xf>
    <xf numFmtId="0" fontId="16" fillId="7" borderId="8" xfId="0" applyFont="1" applyFill="1" applyBorder="1" applyAlignment="1">
      <alignment horizontal="center" vertical="center" wrapText="1"/>
    </xf>
    <xf numFmtId="0" fontId="18" fillId="6" borderId="8" xfId="0" applyFont="1" applyFill="1" applyBorder="1" applyAlignment="1">
      <alignment horizontal="center" vertical="center" wrapText="1" readingOrder="1"/>
    </xf>
    <xf numFmtId="0" fontId="16" fillId="7" borderId="17" xfId="0" applyFont="1" applyFill="1" applyBorder="1" applyAlignment="1">
      <alignment horizontal="center" vertical="center" wrapText="1"/>
    </xf>
    <xf numFmtId="0" fontId="18" fillId="6" borderId="17" xfId="0" applyFont="1" applyFill="1" applyBorder="1" applyAlignment="1">
      <alignment horizontal="center" vertical="center" wrapText="1" readingOrder="1"/>
    </xf>
    <xf numFmtId="0" fontId="20" fillId="7" borderId="8" xfId="0" applyFont="1" applyFill="1" applyBorder="1" applyAlignment="1">
      <alignment horizontal="center" vertical="center" wrapText="1" readingOrder="1"/>
    </xf>
    <xf numFmtId="0" fontId="20" fillId="7" borderId="5" xfId="0" applyFont="1" applyFill="1" applyBorder="1" applyAlignment="1">
      <alignment horizontal="center" vertical="center" wrapText="1" readingOrder="1"/>
    </xf>
    <xf numFmtId="0" fontId="22" fillId="6" borderId="17" xfId="0" applyFont="1" applyFill="1" applyBorder="1" applyAlignment="1">
      <alignment horizontal="center" vertical="center" wrapText="1"/>
    </xf>
    <xf numFmtId="0" fontId="21" fillId="6" borderId="30" xfId="0" applyFont="1" applyFill="1" applyBorder="1" applyAlignment="1">
      <alignment horizontal="center" vertical="center" wrapText="1" readingOrder="1"/>
    </xf>
    <xf numFmtId="0" fontId="25" fillId="7" borderId="2" xfId="0" applyFont="1" applyFill="1" applyBorder="1" applyAlignment="1">
      <alignment horizontal="center" vertical="center" wrapText="1" readingOrder="2"/>
    </xf>
    <xf numFmtId="9" fontId="16" fillId="7" borderId="3" xfId="1" applyFont="1" applyFill="1" applyBorder="1" applyAlignment="1">
      <alignment horizontal="center" vertical="center" wrapText="1" readingOrder="2"/>
    </xf>
    <xf numFmtId="0" fontId="26" fillId="7" borderId="4" xfId="0" applyFont="1" applyFill="1" applyBorder="1" applyAlignment="1">
      <alignment horizontal="center" vertical="center" wrapText="1"/>
    </xf>
    <xf numFmtId="0" fontId="25" fillId="2" borderId="8" xfId="0" applyFont="1" applyFill="1" applyBorder="1" applyAlignment="1">
      <alignment horizontal="center" vertical="center" wrapText="1" readingOrder="2"/>
    </xf>
    <xf numFmtId="9" fontId="16" fillId="2" borderId="8" xfId="1" applyFont="1" applyFill="1" applyBorder="1" applyAlignment="1">
      <alignment horizontal="center" vertical="center" wrapText="1" readingOrder="2"/>
    </xf>
    <xf numFmtId="0" fontId="25" fillId="2" borderId="7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/>
    </xf>
    <xf numFmtId="9" fontId="10" fillId="2" borderId="6" xfId="1" applyFont="1" applyFill="1" applyBorder="1" applyAlignment="1">
      <alignment horizontal="center" vertical="center" readingOrder="2"/>
    </xf>
    <xf numFmtId="9" fontId="10" fillId="2" borderId="3" xfId="1" applyFont="1" applyFill="1" applyBorder="1" applyAlignment="1">
      <alignment horizontal="center" vertical="center" readingOrder="2"/>
    </xf>
    <xf numFmtId="0" fontId="16" fillId="2" borderId="8" xfId="0" applyFont="1" applyFill="1" applyBorder="1" applyAlignment="1">
      <alignment horizontal="center" vertical="center" wrapText="1" readingOrder="2"/>
    </xf>
    <xf numFmtId="0" fontId="10" fillId="4" borderId="17" xfId="0" applyFont="1" applyFill="1" applyBorder="1" applyAlignment="1">
      <alignment horizontal="center" vertical="center"/>
    </xf>
    <xf numFmtId="0" fontId="16" fillId="4" borderId="30" xfId="0" applyFont="1" applyFill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center" vertical="center" wrapText="1"/>
    </xf>
    <xf numFmtId="0" fontId="30" fillId="4" borderId="32" xfId="0" applyFont="1" applyFill="1" applyBorder="1"/>
    <xf numFmtId="0" fontId="29" fillId="4" borderId="32" xfId="0" applyFont="1" applyFill="1" applyBorder="1" applyAlignment="1">
      <alignment horizontal="center" vertical="center"/>
    </xf>
    <xf numFmtId="0" fontId="31" fillId="2" borderId="0" xfId="0" applyFont="1" applyFill="1"/>
    <xf numFmtId="0" fontId="32" fillId="2" borderId="0" xfId="0" applyFont="1" applyFill="1" applyAlignment="1">
      <alignment horizontal="center" vertical="center"/>
    </xf>
    <xf numFmtId="9" fontId="17" fillId="2" borderId="30" xfId="1" applyFont="1" applyFill="1" applyBorder="1" applyAlignment="1">
      <alignment horizontal="center" vertical="center" wrapText="1" readingOrder="2"/>
    </xf>
    <xf numFmtId="0" fontId="7" fillId="6" borderId="18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7" fillId="6" borderId="22" xfId="0" applyFont="1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2" fontId="0" fillId="5" borderId="30" xfId="0" applyNumberForma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9" fontId="1" fillId="4" borderId="3" xfId="1" applyFont="1" applyFill="1" applyBorder="1" applyAlignment="1">
      <alignment horizontal="center" vertical="center" readingOrder="2"/>
    </xf>
    <xf numFmtId="2" fontId="0" fillId="5" borderId="2" xfId="0" applyNumberForma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 wrapText="1"/>
    </xf>
    <xf numFmtId="0" fontId="27" fillId="4" borderId="17" xfId="0" applyFont="1" applyFill="1" applyBorder="1" applyAlignment="1">
      <alignment horizontal="center" vertical="center" wrapText="1"/>
    </xf>
    <xf numFmtId="0" fontId="33" fillId="6" borderId="17" xfId="0" applyFont="1" applyFill="1" applyBorder="1" applyAlignment="1">
      <alignment horizontal="center" vertical="center" wrapText="1"/>
    </xf>
    <xf numFmtId="0" fontId="34" fillId="4" borderId="30" xfId="0" applyFont="1" applyFill="1" applyBorder="1" applyAlignment="1">
      <alignment horizontal="center" vertical="center" wrapText="1"/>
    </xf>
    <xf numFmtId="0" fontId="35" fillId="7" borderId="8" xfId="0" applyFont="1" applyFill="1" applyBorder="1" applyAlignment="1">
      <alignment horizontal="center" vertical="center" wrapText="1" readingOrder="1"/>
    </xf>
    <xf numFmtId="0" fontId="27" fillId="2" borderId="30" xfId="0" applyFont="1" applyFill="1" applyBorder="1" applyAlignment="1" applyProtection="1">
      <alignment horizontal="center" vertical="center"/>
      <protection locked="0"/>
    </xf>
    <xf numFmtId="9" fontId="16" fillId="2" borderId="30" xfId="1" applyFont="1" applyFill="1" applyBorder="1" applyAlignment="1" applyProtection="1">
      <alignment horizontal="center" vertical="center" wrapText="1" readingOrder="2"/>
      <protection locked="0"/>
    </xf>
    <xf numFmtId="0" fontId="16" fillId="2" borderId="8" xfId="0" applyFont="1" applyFill="1" applyBorder="1" applyAlignment="1" applyProtection="1">
      <alignment horizontal="center" vertical="center" wrapText="1" readingOrder="2"/>
      <protection locked="0"/>
    </xf>
    <xf numFmtId="0" fontId="0" fillId="2" borderId="17" xfId="0" applyFill="1" applyBorder="1" applyAlignment="1" applyProtection="1">
      <alignment horizontal="center" vertical="center"/>
      <protection locked="0"/>
    </xf>
    <xf numFmtId="0" fontId="0" fillId="2" borderId="35" xfId="0" applyFill="1" applyBorder="1" applyAlignment="1" applyProtection="1">
      <alignment horizontal="center" vertical="center"/>
      <protection locked="0"/>
    </xf>
    <xf numFmtId="0" fontId="10" fillId="2" borderId="30" xfId="0" applyFont="1" applyFill="1" applyBorder="1" applyAlignment="1" applyProtection="1">
      <alignment horizontal="center" vertical="center"/>
      <protection locked="0"/>
    </xf>
    <xf numFmtId="0" fontId="3" fillId="2" borderId="18" xfId="0" applyFont="1" applyFill="1" applyBorder="1" applyAlignment="1" applyProtection="1">
      <alignment horizontal="center" vertical="center"/>
      <protection locked="0"/>
    </xf>
    <xf numFmtId="0" fontId="24" fillId="8" borderId="6" xfId="0" applyFont="1" applyFill="1" applyBorder="1" applyAlignment="1">
      <alignment horizontal="center" vertical="center"/>
    </xf>
    <xf numFmtId="0" fontId="24" fillId="8" borderId="33" xfId="0" applyFont="1" applyFill="1" applyBorder="1" applyAlignment="1">
      <alignment horizontal="center" vertical="center"/>
    </xf>
    <xf numFmtId="0" fontId="24" fillId="8" borderId="34" xfId="0" applyFont="1" applyFill="1" applyBorder="1" applyAlignment="1">
      <alignment horizontal="center" vertical="center"/>
    </xf>
    <xf numFmtId="0" fontId="24" fillId="8" borderId="7" xfId="0" applyFont="1" applyFill="1" applyBorder="1" applyAlignment="1">
      <alignment horizontal="center" vertical="center"/>
    </xf>
    <xf numFmtId="0" fontId="24" fillId="8" borderId="5" xfId="0" applyFont="1" applyFill="1" applyBorder="1" applyAlignment="1">
      <alignment horizontal="center" vertical="center"/>
    </xf>
    <xf numFmtId="0" fontId="16" fillId="0" borderId="17" xfId="0" applyFont="1" applyBorder="1" applyAlignment="1">
      <alignment horizontal="right" vertical="center" wrapText="1"/>
    </xf>
    <xf numFmtId="0" fontId="16" fillId="0" borderId="8" xfId="0" applyFont="1" applyBorder="1" applyAlignment="1">
      <alignment horizontal="right" vertical="center" wrapText="1"/>
    </xf>
    <xf numFmtId="0" fontId="21" fillId="6" borderId="4" xfId="0" applyFont="1" applyFill="1" applyBorder="1" applyAlignment="1">
      <alignment horizontal="center" vertical="center" wrapText="1" readingOrder="1"/>
    </xf>
    <xf numFmtId="0" fontId="21" fillId="6" borderId="3" xfId="0" applyFont="1" applyFill="1" applyBorder="1" applyAlignment="1">
      <alignment horizontal="center" vertical="center" wrapText="1" readingOrder="1"/>
    </xf>
    <xf numFmtId="0" fontId="21" fillId="6" borderId="2" xfId="0" applyFont="1" applyFill="1" applyBorder="1" applyAlignment="1">
      <alignment horizontal="center" vertical="center" wrapText="1" readingOrder="1"/>
    </xf>
    <xf numFmtId="0" fontId="6" fillId="2" borderId="4" xfId="0" applyFont="1" applyFill="1" applyBorder="1" applyAlignment="1" applyProtection="1">
      <alignment horizontal="right" vertical="center" wrapText="1"/>
      <protection locked="0"/>
    </xf>
    <xf numFmtId="0" fontId="6" fillId="2" borderId="3" xfId="0" applyFont="1" applyFill="1" applyBorder="1" applyAlignment="1" applyProtection="1">
      <alignment horizontal="right" vertical="center" wrapText="1"/>
      <protection locked="0"/>
    </xf>
    <xf numFmtId="0" fontId="6" fillId="2" borderId="2" xfId="0" applyFont="1" applyFill="1" applyBorder="1" applyAlignment="1" applyProtection="1">
      <alignment horizontal="right" vertical="center" wrapText="1"/>
      <protection locked="0"/>
    </xf>
    <xf numFmtId="0" fontId="6" fillId="2" borderId="4" xfId="0" applyFont="1" applyFill="1" applyBorder="1" applyAlignment="1" applyProtection="1">
      <alignment horizontal="justify" vertical="center" wrapText="1"/>
      <protection locked="0"/>
    </xf>
    <xf numFmtId="0" fontId="6" fillId="2" borderId="3" xfId="0" applyFont="1" applyFill="1" applyBorder="1" applyAlignment="1" applyProtection="1">
      <alignment horizontal="justify" vertical="center" wrapText="1"/>
      <protection locked="0"/>
    </xf>
    <xf numFmtId="0" fontId="6" fillId="2" borderId="2" xfId="0" applyFont="1" applyFill="1" applyBorder="1" applyAlignment="1" applyProtection="1">
      <alignment horizontal="justify" vertical="center" wrapText="1"/>
      <protection locked="0"/>
    </xf>
    <xf numFmtId="0" fontId="17" fillId="6" borderId="12" xfId="0" applyFont="1" applyFill="1" applyBorder="1" applyAlignment="1">
      <alignment horizontal="right" vertical="center" wrapText="1" readingOrder="2"/>
    </xf>
    <xf numFmtId="0" fontId="17" fillId="6" borderId="11" xfId="0" applyFont="1" applyFill="1" applyBorder="1" applyAlignment="1">
      <alignment horizontal="right" vertical="center" wrapText="1" readingOrder="2"/>
    </xf>
    <xf numFmtId="0" fontId="17" fillId="6" borderId="10" xfId="0" applyFont="1" applyFill="1" applyBorder="1" applyAlignment="1">
      <alignment horizontal="right" vertical="center" wrapText="1" readingOrder="2"/>
    </xf>
    <xf numFmtId="9" fontId="17" fillId="2" borderId="17" xfId="1" applyFont="1" applyFill="1" applyBorder="1" applyAlignment="1" applyProtection="1">
      <alignment horizontal="center" vertical="center" wrapText="1" readingOrder="2"/>
      <protection locked="0"/>
    </xf>
    <xf numFmtId="9" fontId="17" fillId="2" borderId="13" xfId="1" applyFont="1" applyFill="1" applyBorder="1" applyAlignment="1" applyProtection="1">
      <alignment horizontal="center" vertical="center" wrapText="1" readingOrder="2"/>
      <protection locked="0"/>
    </xf>
    <xf numFmtId="9" fontId="17" fillId="2" borderId="8" xfId="1" applyFont="1" applyFill="1" applyBorder="1" applyAlignment="1" applyProtection="1">
      <alignment horizontal="center" vertical="center" wrapText="1" readingOrder="2"/>
      <protection locked="0"/>
    </xf>
    <xf numFmtId="0" fontId="17" fillId="6" borderId="21" xfId="0" applyFont="1" applyFill="1" applyBorder="1" applyAlignment="1">
      <alignment horizontal="right" vertical="center" wrapText="1" readingOrder="2"/>
    </xf>
    <xf numFmtId="0" fontId="17" fillId="6" borderId="20" xfId="0" applyFont="1" applyFill="1" applyBorder="1" applyAlignment="1">
      <alignment horizontal="right" vertical="center" wrapText="1" readingOrder="2"/>
    </xf>
    <xf numFmtId="0" fontId="17" fillId="6" borderId="19" xfId="0" applyFont="1" applyFill="1" applyBorder="1" applyAlignment="1">
      <alignment horizontal="right" vertical="center" wrapText="1" readingOrder="2"/>
    </xf>
    <xf numFmtId="0" fontId="17" fillId="6" borderId="16" xfId="0" applyFont="1" applyFill="1" applyBorder="1" applyAlignment="1">
      <alignment horizontal="right" vertical="center" wrapText="1" readingOrder="2"/>
    </xf>
    <xf numFmtId="0" fontId="17" fillId="6" borderId="15" xfId="0" applyFont="1" applyFill="1" applyBorder="1" applyAlignment="1">
      <alignment horizontal="right" vertical="center" wrapText="1" readingOrder="2"/>
    </xf>
    <xf numFmtId="0" fontId="17" fillId="6" borderId="14" xfId="0" applyFont="1" applyFill="1" applyBorder="1" applyAlignment="1">
      <alignment horizontal="right" vertical="center" wrapText="1" readingOrder="2"/>
    </xf>
    <xf numFmtId="0" fontId="16" fillId="2" borderId="4" xfId="0" applyFont="1" applyFill="1" applyBorder="1" applyAlignment="1">
      <alignment horizontal="right" vertical="center" wrapText="1"/>
    </xf>
    <xf numFmtId="0" fontId="16" fillId="2" borderId="3" xfId="0" applyFont="1" applyFill="1" applyBorder="1" applyAlignment="1">
      <alignment horizontal="right" vertical="center" wrapText="1"/>
    </xf>
    <xf numFmtId="0" fontId="16" fillId="2" borderId="2" xfId="0" applyFont="1" applyFill="1" applyBorder="1" applyAlignment="1">
      <alignment horizontal="right" vertical="center" wrapText="1"/>
    </xf>
    <xf numFmtId="0" fontId="10" fillId="6" borderId="17" xfId="0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28" fillId="4" borderId="32" xfId="0" applyFont="1" applyFill="1" applyBorder="1" applyAlignment="1">
      <alignment horizontal="center" vertical="center" wrapText="1"/>
    </xf>
    <xf numFmtId="0" fontId="28" fillId="4" borderId="0" xfId="0" applyFont="1" applyFill="1" applyAlignment="1">
      <alignment horizontal="center" vertical="center" wrapText="1"/>
    </xf>
    <xf numFmtId="0" fontId="16" fillId="2" borderId="4" xfId="0" applyFont="1" applyFill="1" applyBorder="1" applyAlignment="1" applyProtection="1">
      <alignment horizontal="right" vertical="center" wrapText="1"/>
      <protection locked="0"/>
    </xf>
    <xf numFmtId="0" fontId="16" fillId="2" borderId="3" xfId="0" applyFont="1" applyFill="1" applyBorder="1" applyAlignment="1" applyProtection="1">
      <alignment horizontal="right" vertical="center" wrapText="1"/>
      <protection locked="0"/>
    </xf>
    <xf numFmtId="0" fontId="16" fillId="2" borderId="2" xfId="0" applyFont="1" applyFill="1" applyBorder="1" applyAlignment="1" applyProtection="1">
      <alignment horizontal="right" vertical="center" wrapText="1"/>
      <protection locked="0"/>
    </xf>
    <xf numFmtId="0" fontId="16" fillId="2" borderId="32" xfId="0" applyFont="1" applyFill="1" applyBorder="1" applyAlignment="1" applyProtection="1">
      <alignment horizontal="right" vertical="center" wrapText="1"/>
      <protection locked="0"/>
    </xf>
    <xf numFmtId="0" fontId="16" fillId="2" borderId="0" xfId="0" applyFont="1" applyFill="1" applyAlignment="1" applyProtection="1">
      <alignment horizontal="right" vertical="center" wrapText="1"/>
      <protection locked="0"/>
    </xf>
    <xf numFmtId="0" fontId="16" fillId="2" borderId="31" xfId="0" applyFont="1" applyFill="1" applyBorder="1" applyAlignment="1" applyProtection="1">
      <alignment horizontal="right" vertical="center" wrapText="1"/>
      <protection locked="0"/>
    </xf>
    <xf numFmtId="0" fontId="10" fillId="6" borderId="31" xfId="0" applyFont="1" applyFill="1" applyBorder="1" applyAlignment="1">
      <alignment horizontal="center" vertical="center"/>
    </xf>
    <xf numFmtId="0" fontId="18" fillId="6" borderId="33" xfId="0" applyFont="1" applyFill="1" applyBorder="1" applyAlignment="1">
      <alignment horizontal="center" vertical="center" wrapText="1" readingOrder="1"/>
    </xf>
    <xf numFmtId="0" fontId="18" fillId="6" borderId="32" xfId="0" applyFont="1" applyFill="1" applyBorder="1" applyAlignment="1">
      <alignment horizontal="center" vertical="center" wrapText="1" readingOrder="1"/>
    </xf>
    <xf numFmtId="0" fontId="18" fillId="6" borderId="7" xfId="0" applyFont="1" applyFill="1" applyBorder="1" applyAlignment="1">
      <alignment horizontal="center" vertical="center" wrapText="1" readingOrder="1"/>
    </xf>
    <xf numFmtId="0" fontId="23" fillId="7" borderId="1" xfId="0" applyFont="1" applyFill="1" applyBorder="1" applyAlignment="1">
      <alignment horizontal="center" vertical="center" wrapText="1"/>
    </xf>
    <xf numFmtId="0" fontId="23" fillId="7" borderId="34" xfId="0" applyFont="1" applyFill="1" applyBorder="1" applyAlignment="1">
      <alignment horizontal="center" vertical="center" wrapText="1"/>
    </xf>
    <xf numFmtId="0" fontId="25" fillId="4" borderId="4" xfId="0" applyFont="1" applyFill="1" applyBorder="1" applyAlignment="1">
      <alignment horizontal="center" vertical="center" wrapText="1"/>
    </xf>
    <xf numFmtId="0" fontId="25" fillId="4" borderId="3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 applyProtection="1">
      <alignment horizontal="center" vertical="center" wrapText="1"/>
      <protection locked="0"/>
    </xf>
    <xf numFmtId="0" fontId="16" fillId="2" borderId="2" xfId="0" applyFont="1" applyFill="1" applyBorder="1" applyAlignment="1" applyProtection="1">
      <alignment horizontal="center" vertical="center" wrapText="1"/>
      <protection locked="0"/>
    </xf>
    <xf numFmtId="0" fontId="16" fillId="2" borderId="3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23" fillId="6" borderId="4" xfId="0" applyFont="1" applyFill="1" applyBorder="1" applyAlignment="1">
      <alignment horizontal="center" vertical="center" wrapText="1"/>
    </xf>
    <xf numFmtId="0" fontId="23" fillId="6" borderId="3" xfId="0" applyFont="1" applyFill="1" applyBorder="1" applyAlignment="1">
      <alignment horizontal="center" vertical="center" wrapText="1"/>
    </xf>
    <xf numFmtId="0" fontId="23" fillId="6" borderId="2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7" fillId="6" borderId="4" xfId="0" applyFont="1" applyFill="1" applyBorder="1" applyAlignment="1">
      <alignment horizontal="center" vertical="center" wrapText="1" readingOrder="2"/>
    </xf>
    <xf numFmtId="0" fontId="17" fillId="6" borderId="3" xfId="0" applyFont="1" applyFill="1" applyBorder="1" applyAlignment="1">
      <alignment horizontal="center" vertical="center" wrapText="1" readingOrder="2"/>
    </xf>
    <xf numFmtId="0" fontId="17" fillId="6" borderId="2" xfId="0" applyFont="1" applyFill="1" applyBorder="1" applyAlignment="1">
      <alignment horizontal="center" vertical="center" wrapText="1" readingOrder="2"/>
    </xf>
    <xf numFmtId="0" fontId="8" fillId="4" borderId="6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5" fillId="2" borderId="4" xfId="0" applyFont="1" applyFill="1" applyBorder="1" applyAlignment="1" applyProtection="1">
      <alignment horizontal="right" vertical="center" wrapText="1"/>
      <protection locked="0"/>
    </xf>
    <xf numFmtId="0" fontId="5" fillId="2" borderId="3" xfId="0" applyFont="1" applyFill="1" applyBorder="1" applyAlignment="1" applyProtection="1">
      <alignment horizontal="right" vertical="center" wrapText="1"/>
      <protection locked="0"/>
    </xf>
    <xf numFmtId="0" fontId="5" fillId="2" borderId="2" xfId="0" applyFont="1" applyFill="1" applyBorder="1" applyAlignment="1" applyProtection="1">
      <alignment horizontal="right" vertical="center" wrapText="1"/>
      <protection locked="0"/>
    </xf>
    <xf numFmtId="0" fontId="17" fillId="6" borderId="26" xfId="0" applyFont="1" applyFill="1" applyBorder="1" applyAlignment="1">
      <alignment horizontal="right" vertical="center" wrapText="1" readingOrder="2"/>
    </xf>
    <xf numFmtId="0" fontId="17" fillId="6" borderId="25" xfId="0" applyFont="1" applyFill="1" applyBorder="1" applyAlignment="1">
      <alignment horizontal="right" vertical="center" wrapText="1" readingOrder="2"/>
    </xf>
    <xf numFmtId="0" fontId="17" fillId="6" borderId="24" xfId="0" applyFont="1" applyFill="1" applyBorder="1" applyAlignment="1">
      <alignment horizontal="right" vertical="center" wrapText="1" readingOrder="2"/>
    </xf>
    <xf numFmtId="0" fontId="3" fillId="2" borderId="1" xfId="0" applyFont="1" applyFill="1" applyBorder="1" applyAlignment="1">
      <alignment horizontal="right" vertical="top" readingOrder="2"/>
    </xf>
    <xf numFmtId="0" fontId="7" fillId="6" borderId="13" xfId="0" applyFont="1" applyFill="1" applyBorder="1" applyAlignment="1">
      <alignment horizontal="center" vertical="center"/>
    </xf>
    <xf numFmtId="9" fontId="7" fillId="4" borderId="13" xfId="1" applyFont="1" applyFill="1" applyBorder="1" applyAlignment="1">
      <alignment horizontal="center" vertical="center" readingOrder="2"/>
    </xf>
    <xf numFmtId="9" fontId="7" fillId="4" borderId="17" xfId="1" applyFont="1" applyFill="1" applyBorder="1" applyAlignment="1">
      <alignment horizontal="center" vertical="center" readingOrder="2"/>
    </xf>
    <xf numFmtId="9" fontId="7" fillId="4" borderId="8" xfId="1" applyFont="1" applyFill="1" applyBorder="1" applyAlignment="1">
      <alignment horizontal="center" vertical="center" readingOrder="2"/>
    </xf>
    <xf numFmtId="0" fontId="11" fillId="6" borderId="21" xfId="0" applyFont="1" applyFill="1" applyBorder="1" applyAlignment="1">
      <alignment horizontal="right" vertical="center" wrapText="1" readingOrder="2"/>
    </xf>
    <xf numFmtId="0" fontId="11" fillId="6" borderId="20" xfId="0" applyFont="1" applyFill="1" applyBorder="1" applyAlignment="1">
      <alignment horizontal="right" vertical="center" wrapText="1" readingOrder="2"/>
    </xf>
    <xf numFmtId="0" fontId="11" fillId="6" borderId="19" xfId="0" applyFont="1" applyFill="1" applyBorder="1" applyAlignment="1">
      <alignment horizontal="right" vertical="center" wrapText="1" readingOrder="2"/>
    </xf>
    <xf numFmtId="0" fontId="11" fillId="6" borderId="16" xfId="0" applyFont="1" applyFill="1" applyBorder="1" applyAlignment="1">
      <alignment horizontal="right" vertical="center" wrapText="1" readingOrder="2"/>
    </xf>
    <xf numFmtId="0" fontId="11" fillId="6" borderId="15" xfId="0" applyFont="1" applyFill="1" applyBorder="1" applyAlignment="1">
      <alignment horizontal="right" vertical="center" wrapText="1" readingOrder="2"/>
    </xf>
    <xf numFmtId="0" fontId="11" fillId="6" borderId="14" xfId="0" applyFont="1" applyFill="1" applyBorder="1" applyAlignment="1">
      <alignment horizontal="right" vertical="center" wrapText="1" readingOrder="2"/>
    </xf>
    <xf numFmtId="0" fontId="11" fillId="6" borderId="12" xfId="0" applyFont="1" applyFill="1" applyBorder="1" applyAlignment="1">
      <alignment horizontal="right" vertical="center" wrapText="1" readingOrder="2"/>
    </xf>
    <xf numFmtId="0" fontId="11" fillId="6" borderId="11" xfId="0" applyFont="1" applyFill="1" applyBorder="1" applyAlignment="1">
      <alignment horizontal="right" vertical="center" wrapText="1" readingOrder="2"/>
    </xf>
    <xf numFmtId="0" fontId="11" fillId="6" borderId="10" xfId="0" applyFont="1" applyFill="1" applyBorder="1" applyAlignment="1">
      <alignment horizontal="right" vertical="center" wrapText="1" readingOrder="2"/>
    </xf>
    <xf numFmtId="0" fontId="7" fillId="6" borderId="17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11" fillId="6" borderId="26" xfId="0" applyFont="1" applyFill="1" applyBorder="1" applyAlignment="1">
      <alignment horizontal="right" vertical="center" wrapText="1" readingOrder="2"/>
    </xf>
    <xf numFmtId="0" fontId="11" fillId="6" borderId="25" xfId="0" applyFont="1" applyFill="1" applyBorder="1" applyAlignment="1">
      <alignment horizontal="right" vertical="center" wrapText="1" readingOrder="2"/>
    </xf>
    <xf numFmtId="0" fontId="11" fillId="6" borderId="24" xfId="0" applyFont="1" applyFill="1" applyBorder="1" applyAlignment="1">
      <alignment horizontal="right" vertical="center" wrapText="1" readingOrder="2"/>
    </xf>
    <xf numFmtId="0" fontId="4" fillId="2" borderId="1" xfId="0" applyFont="1" applyFill="1" applyBorder="1" applyAlignment="1" applyProtection="1">
      <alignment horizontal="right" vertical="center" readingOrder="2"/>
      <protection locked="0"/>
    </xf>
    <xf numFmtId="0" fontId="24" fillId="4" borderId="6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right" vertical="center"/>
    </xf>
    <xf numFmtId="0" fontId="7" fillId="4" borderId="17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11" fillId="6" borderId="29" xfId="0" applyFont="1" applyFill="1" applyBorder="1" applyAlignment="1">
      <alignment horizontal="right" vertical="center" wrapText="1" readingOrder="2"/>
    </xf>
    <xf numFmtId="0" fontId="11" fillId="6" borderId="28" xfId="0" applyFont="1" applyFill="1" applyBorder="1" applyAlignment="1">
      <alignment horizontal="right" vertical="center" wrapText="1" readingOrder="2"/>
    </xf>
    <xf numFmtId="0" fontId="11" fillId="6" borderId="27" xfId="0" applyFont="1" applyFill="1" applyBorder="1" applyAlignment="1">
      <alignment horizontal="right" vertical="center" wrapText="1" readingOrder="2"/>
    </xf>
    <xf numFmtId="0" fontId="16" fillId="2" borderId="4" xfId="0" applyFont="1" applyFill="1" applyBorder="1" applyAlignment="1" applyProtection="1">
      <alignment horizontal="center" vertical="center" wrapText="1"/>
      <protection locked="0"/>
    </xf>
    <xf numFmtId="0" fontId="16" fillId="7" borderId="17" xfId="0" applyFont="1" applyFill="1" applyBorder="1" applyAlignment="1">
      <alignment horizontal="center" vertical="center" wrapText="1"/>
    </xf>
    <xf numFmtId="0" fontId="16" fillId="7" borderId="8" xfId="0" applyFont="1" applyFill="1" applyBorder="1" applyAlignment="1">
      <alignment horizontal="center" vertical="center" wrapText="1"/>
    </xf>
    <xf numFmtId="0" fontId="18" fillId="6" borderId="17" xfId="0" applyFont="1" applyFill="1" applyBorder="1" applyAlignment="1">
      <alignment horizontal="center" vertical="center" wrapText="1" readingOrder="1"/>
    </xf>
    <xf numFmtId="0" fontId="18" fillId="6" borderId="8" xfId="0" applyFont="1" applyFill="1" applyBorder="1" applyAlignment="1">
      <alignment horizontal="center" vertical="center" wrapText="1" readingOrder="1"/>
    </xf>
    <xf numFmtId="0" fontId="12" fillId="6" borderId="17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1" fillId="6" borderId="21" xfId="0" applyFont="1" applyFill="1" applyBorder="1" applyAlignment="1">
      <alignment horizontal="center" vertical="center" wrapText="1" readingOrder="2"/>
    </xf>
    <xf numFmtId="0" fontId="11" fillId="6" borderId="20" xfId="0" applyFont="1" applyFill="1" applyBorder="1" applyAlignment="1">
      <alignment horizontal="center" vertical="center" wrapText="1" readingOrder="2"/>
    </xf>
    <xf numFmtId="0" fontId="11" fillId="6" borderId="19" xfId="0" applyFont="1" applyFill="1" applyBorder="1" applyAlignment="1">
      <alignment horizontal="center" vertical="center" wrapText="1" readingOrder="2"/>
    </xf>
    <xf numFmtId="2" fontId="30" fillId="4" borderId="32" xfId="0" applyNumberFormat="1" applyFont="1" applyFill="1" applyBorder="1" applyAlignment="1">
      <alignment horizontal="center" vertical="center"/>
    </xf>
    <xf numFmtId="0" fontId="11" fillId="6" borderId="16" xfId="0" applyFont="1" applyFill="1" applyBorder="1" applyAlignment="1">
      <alignment horizontal="center" vertical="center" wrapText="1" readingOrder="2"/>
    </xf>
    <xf numFmtId="0" fontId="11" fillId="6" borderId="15" xfId="0" applyFont="1" applyFill="1" applyBorder="1" applyAlignment="1">
      <alignment horizontal="center" vertical="center" wrapText="1" readingOrder="2"/>
    </xf>
    <xf numFmtId="0" fontId="11" fillId="6" borderId="14" xfId="0" applyFont="1" applyFill="1" applyBorder="1" applyAlignment="1">
      <alignment horizontal="center" vertical="center" wrapText="1" readingOrder="2"/>
    </xf>
    <xf numFmtId="0" fontId="11" fillId="6" borderId="26" xfId="0" applyFont="1" applyFill="1" applyBorder="1" applyAlignment="1">
      <alignment horizontal="center" vertical="center" wrapText="1" readingOrder="2"/>
    </xf>
    <xf numFmtId="0" fontId="11" fillId="6" borderId="25" xfId="0" applyFont="1" applyFill="1" applyBorder="1" applyAlignment="1">
      <alignment horizontal="center" vertical="center" wrapText="1" readingOrder="2"/>
    </xf>
    <xf numFmtId="0" fontId="11" fillId="6" borderId="24" xfId="0" applyFont="1" applyFill="1" applyBorder="1" applyAlignment="1">
      <alignment horizontal="center" vertical="center" wrapText="1" readingOrder="2"/>
    </xf>
    <xf numFmtId="0" fontId="5" fillId="2" borderId="4" xfId="0" applyFont="1" applyFill="1" applyBorder="1" applyAlignment="1" applyProtection="1">
      <alignment horizontal="justify" vertical="center" wrapText="1"/>
      <protection locked="0"/>
    </xf>
    <xf numFmtId="0" fontId="5" fillId="2" borderId="3" xfId="0" applyFont="1" applyFill="1" applyBorder="1" applyAlignment="1" applyProtection="1">
      <alignment horizontal="justify" vertical="center" wrapText="1"/>
      <protection locked="0"/>
    </xf>
    <xf numFmtId="0" fontId="5" fillId="2" borderId="2" xfId="0" applyFont="1" applyFill="1" applyBorder="1" applyAlignment="1" applyProtection="1">
      <alignment horizontal="justify" vertical="center" wrapText="1"/>
      <protection locked="0"/>
    </xf>
    <xf numFmtId="0" fontId="9" fillId="5" borderId="4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2" fontId="8" fillId="5" borderId="4" xfId="0" applyNumberFormat="1" applyFont="1" applyFill="1" applyBorder="1" applyAlignment="1">
      <alignment horizontal="center" vertical="center"/>
    </xf>
    <xf numFmtId="2" fontId="8" fillId="5" borderId="3" xfId="0" applyNumberFormat="1" applyFont="1" applyFill="1" applyBorder="1" applyAlignment="1">
      <alignment horizontal="center" vertical="center"/>
    </xf>
    <xf numFmtId="2" fontId="8" fillId="5" borderId="2" xfId="0" applyNumberFormat="1" applyFont="1" applyFill="1" applyBorder="1" applyAlignment="1">
      <alignment horizontal="center" vertical="center"/>
    </xf>
  </cellXfs>
  <cellStyles count="2">
    <cellStyle name="Percent" xfId="1" builtinId="5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hyperlink" Target="https://www.mcs.gov.sa/" TargetMode="External"/><Relationship Id="rId4" Type="http://schemas.openxmlformats.org/officeDocument/2006/relationships/image" Target="../media/image3.jf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659423</xdr:colOff>
      <xdr:row>44</xdr:row>
      <xdr:rowOff>14654</xdr:rowOff>
    </xdr:from>
    <xdr:to>
      <xdr:col>8</xdr:col>
      <xdr:colOff>696059</xdr:colOff>
      <xdr:row>44</xdr:row>
      <xdr:rowOff>930519</xdr:rowOff>
    </xdr:to>
    <xdr:sp macro="" textlink="">
      <xdr:nvSpPr>
        <xdr:cNvPr id="2" name="مربع نص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1229974266" y="7434629"/>
          <a:ext cx="2770311" cy="1633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r" rtl="1"/>
          <a:endParaRPr lang="en-US" sz="1100"/>
        </a:p>
        <a:p>
          <a:pPr algn="r" rtl="1"/>
          <a:endParaRPr lang="en-US" sz="1100"/>
        </a:p>
        <a:p>
          <a:pPr algn="r" rtl="1"/>
          <a:endParaRPr lang="en-US" sz="1100"/>
        </a:p>
        <a:p>
          <a:pPr algn="r" rtl="1"/>
          <a:endParaRPr lang="en-US" sz="1100"/>
        </a:p>
        <a:p>
          <a:pPr algn="r" rtl="1"/>
          <a:endParaRPr lang="ar-SA" sz="1100"/>
        </a:p>
      </xdr:txBody>
    </xdr:sp>
    <xdr:clientData/>
  </xdr:twoCellAnchor>
  <xdr:twoCellAnchor>
    <xdr:from>
      <xdr:col>4</xdr:col>
      <xdr:colOff>600808</xdr:colOff>
      <xdr:row>0</xdr:row>
      <xdr:rowOff>7328</xdr:rowOff>
    </xdr:from>
    <xdr:to>
      <xdr:col>10</xdr:col>
      <xdr:colOff>7327</xdr:colOff>
      <xdr:row>0</xdr:row>
      <xdr:rowOff>864578</xdr:rowOff>
    </xdr:to>
    <xdr:sp macro="" textlink="">
      <xdr:nvSpPr>
        <xdr:cNvPr id="3" name="مربع نص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1281410000" y="7328"/>
          <a:ext cx="2571750" cy="857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r" rtl="1"/>
          <a:endParaRPr lang="en-US" sz="1100"/>
        </a:p>
        <a:p>
          <a:pPr algn="r" rtl="1"/>
          <a:endParaRPr lang="en-US" sz="1100"/>
        </a:p>
        <a:p>
          <a:pPr algn="r" rtl="1"/>
          <a:endParaRPr lang="en-US" sz="1100"/>
        </a:p>
        <a:p>
          <a:pPr algn="r" rtl="1"/>
          <a:endParaRPr lang="en-US" sz="1100"/>
        </a:p>
        <a:p>
          <a:pPr algn="r" rtl="1"/>
          <a:endParaRPr lang="ar-SA" sz="1100"/>
        </a:p>
      </xdr:txBody>
    </xdr:sp>
    <xdr:clientData/>
  </xdr:twoCellAnchor>
  <xdr:twoCellAnchor>
    <xdr:from>
      <xdr:col>2</xdr:col>
      <xdr:colOff>466726</xdr:colOff>
      <xdr:row>59</xdr:row>
      <xdr:rowOff>47624</xdr:rowOff>
    </xdr:from>
    <xdr:to>
      <xdr:col>2</xdr:col>
      <xdr:colOff>1752601</xdr:colOff>
      <xdr:row>59</xdr:row>
      <xdr:rowOff>285749</xdr:rowOff>
    </xdr:to>
    <xdr:sp macro="" textlink="">
      <xdr:nvSpPr>
        <xdr:cNvPr id="4" name="سهم إلى اليمين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rot="10800000">
          <a:off x="11234089799" y="9820274"/>
          <a:ext cx="219075" cy="133350"/>
        </a:xfrm>
        <a:prstGeom prst="rightArrow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ar-SA" sz="1100"/>
        </a:p>
      </xdr:txBody>
    </xdr:sp>
    <xdr:clientData/>
  </xdr:twoCellAnchor>
  <xdr:twoCellAnchor>
    <xdr:from>
      <xdr:col>1</xdr:col>
      <xdr:colOff>2372592</xdr:colOff>
      <xdr:row>85</xdr:row>
      <xdr:rowOff>38099</xdr:rowOff>
    </xdr:from>
    <xdr:to>
      <xdr:col>1</xdr:col>
      <xdr:colOff>2853602</xdr:colOff>
      <xdr:row>85</xdr:row>
      <xdr:rowOff>276224</xdr:rowOff>
    </xdr:to>
    <xdr:sp macro="" textlink="">
      <xdr:nvSpPr>
        <xdr:cNvPr id="5" name="سهم إلى اليمين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 rot="10800000">
          <a:off x="11211768830" y="20343667"/>
          <a:ext cx="481010" cy="238125"/>
        </a:xfrm>
        <a:prstGeom prst="right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ar-SA" sz="1100"/>
        </a:p>
      </xdr:txBody>
    </xdr:sp>
    <xdr:clientData/>
  </xdr:twoCellAnchor>
  <xdr:oneCellAnchor>
    <xdr:from>
      <xdr:col>4</xdr:col>
      <xdr:colOff>600809</xdr:colOff>
      <xdr:row>0</xdr:row>
      <xdr:rowOff>17317</xdr:rowOff>
    </xdr:from>
    <xdr:ext cx="2505346" cy="759337"/>
    <xdr:pic>
      <xdr:nvPicPr>
        <xdr:cNvPr id="6" name="صورة 5" descr="وزارة الخدمة المدنية">
          <a:hlinkClick xmlns:r="http://schemas.openxmlformats.org/officeDocument/2006/relationships" r:id="rId1" tooltip="&quot;وزارة الخدمة المدنية&quot;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81476403" y="17317"/>
          <a:ext cx="2505346" cy="759337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17318</xdr:colOff>
      <xdr:row>0</xdr:row>
      <xdr:rowOff>0</xdr:rowOff>
    </xdr:from>
    <xdr:ext cx="1376796" cy="843157"/>
    <xdr:pic>
      <xdr:nvPicPr>
        <xdr:cNvPr id="7" name="صورة 6" descr="https://tse1.mm.bing.net/th?&amp;id=OIP.M8b7868d39913311c5bd24a662a0b9655o0&amp;w=300&amp;h=226&amp;c=0&amp;pid=1.9&amp;rs=0&amp;p=0&amp;r=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9793830136" y="0"/>
          <a:ext cx="1376796" cy="843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36633</xdr:colOff>
      <xdr:row>44</xdr:row>
      <xdr:rowOff>29311</xdr:rowOff>
    </xdr:from>
    <xdr:ext cx="1296867" cy="914530"/>
    <xdr:pic>
      <xdr:nvPicPr>
        <xdr:cNvPr id="8" name="صورة 7" descr="https://tse1.mm.bing.net/th?&amp;id=OIP.M8b7868d39913311c5bd24a662a0b9655o0&amp;w=300&amp;h=226&amp;c=0&amp;pid=1.9&amp;rs=0&amp;p=0&amp;r=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9793890750" y="10913788"/>
          <a:ext cx="1296867" cy="9145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666780</xdr:colOff>
      <xdr:row>44</xdr:row>
      <xdr:rowOff>29310</xdr:rowOff>
    </xdr:from>
    <xdr:ext cx="2498451" cy="909204"/>
    <xdr:pic>
      <xdr:nvPicPr>
        <xdr:cNvPr id="9" name="صورة 8" descr="وزارة الخدمة المدنية">
          <a:hlinkClick xmlns:r="http://schemas.openxmlformats.org/officeDocument/2006/relationships" r:id="rId1" tooltip="&quot;وزارة الخدمة المدنية&quot;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0238769" y="7449285"/>
          <a:ext cx="2498451" cy="909204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1</xdr:col>
      <xdr:colOff>1143000</xdr:colOff>
      <xdr:row>44</xdr:row>
      <xdr:rowOff>25977</xdr:rowOff>
    </xdr:from>
    <xdr:to>
      <xdr:col>1</xdr:col>
      <xdr:colOff>2363932</xdr:colOff>
      <xdr:row>44</xdr:row>
      <xdr:rowOff>952500</xdr:rowOff>
    </xdr:to>
    <xdr:pic>
      <xdr:nvPicPr>
        <xdr:cNvPr id="13" name="صورة 12">
          <a:extLst>
            <a:ext uri="{FF2B5EF4-FFF2-40B4-BE49-F238E27FC236}">
              <a16:creationId xmlns:a16="http://schemas.microsoft.com/office/drawing/2014/main" id="{7C077670-0DA4-4609-BC9C-B76132352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92678477" y="10910454"/>
          <a:ext cx="1220932" cy="9265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3"/>
  <sheetViews>
    <sheetView rightToLeft="1" tabSelected="1" view="pageBreakPreview" topLeftCell="A54" zoomScale="110" zoomScaleNormal="110" zoomScaleSheetLayoutView="110" workbookViewId="0">
      <selection activeCell="H63" sqref="H63:I80"/>
    </sheetView>
  </sheetViews>
  <sheetFormatPr defaultColWidth="9" defaultRowHeight="14.25" x14ac:dyDescent="0.2"/>
  <cols>
    <col min="1" max="1" width="2.75" style="1" customWidth="1"/>
    <col min="2" max="2" width="37.375" style="2" customWidth="1"/>
    <col min="3" max="3" width="16.875" style="2" customWidth="1"/>
    <col min="4" max="4" width="28.875" style="2" customWidth="1"/>
    <col min="5" max="5" width="9.375" style="2" customWidth="1"/>
    <col min="6" max="6" width="7.25" style="1" customWidth="1"/>
    <col min="7" max="7" width="8.375" style="1" customWidth="1"/>
    <col min="8" max="8" width="7.25" style="1" customWidth="1"/>
    <col min="9" max="9" width="9" style="1" customWidth="1"/>
    <col min="10" max="10" width="3.375" style="1" hidden="1" customWidth="1"/>
    <col min="11" max="11" width="5" style="1" customWidth="1"/>
    <col min="12" max="12" width="7" style="1" customWidth="1"/>
    <col min="13" max="13" width="8.75" style="1" customWidth="1"/>
    <col min="14" max="14" width="69.75" style="1" customWidth="1"/>
    <col min="15" max="16384" width="9" style="1"/>
  </cols>
  <sheetData>
    <row r="1" spans="1:14" ht="72.75" customHeight="1" thickBot="1" x14ac:dyDescent="0.25">
      <c r="A1" s="109" t="s">
        <v>100</v>
      </c>
      <c r="B1" s="110"/>
      <c r="C1" s="110"/>
      <c r="D1" s="110"/>
      <c r="E1" s="110"/>
      <c r="F1" s="110"/>
      <c r="G1" s="110"/>
      <c r="H1" s="110"/>
      <c r="I1" s="110"/>
      <c r="K1" s="52"/>
    </row>
    <row r="2" spans="1:14" ht="23.25" customHeight="1" thickBot="1" x14ac:dyDescent="0.25">
      <c r="A2" s="111" t="s">
        <v>110</v>
      </c>
      <c r="B2" s="112"/>
      <c r="C2" s="112"/>
      <c r="D2" s="111" t="s">
        <v>109</v>
      </c>
      <c r="E2" s="112"/>
      <c r="F2" s="112"/>
      <c r="G2" s="112"/>
      <c r="H2" s="112"/>
      <c r="I2" s="113"/>
      <c r="K2" s="52"/>
    </row>
    <row r="3" spans="1:14" ht="23.25" customHeight="1" thickBot="1" x14ac:dyDescent="0.25">
      <c r="A3" s="111" t="s">
        <v>111</v>
      </c>
      <c r="B3" s="112"/>
      <c r="C3" s="112"/>
      <c r="D3" s="114" t="s">
        <v>108</v>
      </c>
      <c r="E3" s="115"/>
      <c r="F3" s="115"/>
      <c r="G3" s="115"/>
      <c r="H3" s="115"/>
      <c r="I3" s="116"/>
      <c r="K3" s="52"/>
    </row>
    <row r="4" spans="1:14" ht="23.25" customHeight="1" thickBot="1" x14ac:dyDescent="0.25">
      <c r="A4" s="111" t="s">
        <v>106</v>
      </c>
      <c r="B4" s="112"/>
      <c r="C4" s="112"/>
      <c r="D4" s="111" t="s">
        <v>107</v>
      </c>
      <c r="E4" s="112"/>
      <c r="F4" s="112"/>
      <c r="G4" s="112"/>
      <c r="H4" s="112"/>
      <c r="I4" s="113"/>
      <c r="K4" s="52"/>
    </row>
    <row r="5" spans="1:14" ht="23.25" customHeight="1" thickBot="1" x14ac:dyDescent="0.25">
      <c r="A5" s="121" t="s">
        <v>49</v>
      </c>
      <c r="B5" s="121"/>
      <c r="C5" s="121"/>
      <c r="D5" s="121"/>
      <c r="E5" s="121"/>
      <c r="F5" s="121"/>
      <c r="G5" s="121"/>
      <c r="H5" s="121"/>
      <c r="I5" s="122"/>
      <c r="K5" s="52"/>
    </row>
    <row r="6" spans="1:14" ht="30.75" thickBot="1" x14ac:dyDescent="0.25">
      <c r="A6" s="25" t="s">
        <v>39</v>
      </c>
      <c r="B6" s="123" t="s">
        <v>95</v>
      </c>
      <c r="C6" s="124"/>
      <c r="D6" s="124"/>
      <c r="E6" s="124"/>
      <c r="F6" s="124"/>
      <c r="G6" s="48" t="s">
        <v>47</v>
      </c>
      <c r="H6" s="48" t="s">
        <v>46</v>
      </c>
      <c r="I6" s="48" t="s">
        <v>45</v>
      </c>
      <c r="K6" s="52"/>
    </row>
    <row r="7" spans="1:14" ht="23.25" customHeight="1" thickBot="1" x14ac:dyDescent="0.25">
      <c r="A7" s="47">
        <v>1</v>
      </c>
      <c r="B7" s="125"/>
      <c r="C7" s="125"/>
      <c r="D7" s="125"/>
      <c r="E7" s="125"/>
      <c r="F7" s="126"/>
      <c r="G7" s="68"/>
      <c r="H7" s="69"/>
      <c r="I7" s="70"/>
      <c r="K7" s="52"/>
    </row>
    <row r="8" spans="1:14" ht="23.25" customHeight="1" thickBot="1" x14ac:dyDescent="0.25">
      <c r="A8" s="47">
        <v>2</v>
      </c>
      <c r="B8" s="125"/>
      <c r="C8" s="125"/>
      <c r="D8" s="125"/>
      <c r="E8" s="125"/>
      <c r="F8" s="126"/>
      <c r="G8" s="68"/>
      <c r="H8" s="69"/>
      <c r="I8" s="70"/>
      <c r="K8" s="52"/>
    </row>
    <row r="9" spans="1:14" ht="23.25" customHeight="1" thickBot="1" x14ac:dyDescent="0.25">
      <c r="A9" s="47">
        <v>3</v>
      </c>
      <c r="B9" s="125"/>
      <c r="C9" s="125"/>
      <c r="D9" s="125"/>
      <c r="E9" s="125"/>
      <c r="F9" s="126"/>
      <c r="G9" s="68"/>
      <c r="H9" s="69"/>
      <c r="I9" s="70"/>
      <c r="K9" s="52"/>
    </row>
    <row r="10" spans="1:14" ht="23.25" customHeight="1" thickBot="1" x14ac:dyDescent="0.25">
      <c r="A10" s="47">
        <v>4</v>
      </c>
      <c r="B10" s="125"/>
      <c r="C10" s="125"/>
      <c r="D10" s="125"/>
      <c r="E10" s="125"/>
      <c r="F10" s="126"/>
      <c r="G10" s="68"/>
      <c r="H10" s="69"/>
      <c r="I10" s="70"/>
      <c r="K10" s="52"/>
    </row>
    <row r="11" spans="1:14" ht="23.25" customHeight="1" thickBot="1" x14ac:dyDescent="0.25">
      <c r="A11" s="47">
        <v>5</v>
      </c>
      <c r="B11" s="183"/>
      <c r="C11" s="125"/>
      <c r="D11" s="125"/>
      <c r="E11" s="125"/>
      <c r="F11" s="126"/>
      <c r="G11" s="68"/>
      <c r="H11" s="69"/>
      <c r="I11" s="70"/>
      <c r="K11" s="52"/>
    </row>
    <row r="12" spans="1:14" ht="23.25" customHeight="1" thickBot="1" x14ac:dyDescent="0.25">
      <c r="A12" s="47">
        <v>6</v>
      </c>
      <c r="B12" s="183"/>
      <c r="C12" s="125"/>
      <c r="D12" s="125"/>
      <c r="E12" s="125"/>
      <c r="F12" s="126"/>
      <c r="G12" s="68"/>
      <c r="H12" s="69"/>
      <c r="I12" s="70"/>
      <c r="K12" s="52"/>
    </row>
    <row r="13" spans="1:14" ht="16.5" hidden="1" thickBot="1" x14ac:dyDescent="0.25">
      <c r="A13" s="25">
        <v>5</v>
      </c>
      <c r="B13" s="127"/>
      <c r="C13" s="127"/>
      <c r="D13" s="127"/>
      <c r="E13" s="127"/>
      <c r="F13" s="128"/>
      <c r="G13" s="45"/>
      <c r="H13" s="41"/>
      <c r="I13" s="46"/>
      <c r="K13" s="52"/>
    </row>
    <row r="14" spans="1:14" ht="16.5" hidden="1" thickBot="1" x14ac:dyDescent="0.25">
      <c r="A14" s="43">
        <v>6</v>
      </c>
      <c r="B14" s="129"/>
      <c r="C14" s="127"/>
      <c r="D14" s="127"/>
      <c r="E14" s="127"/>
      <c r="F14" s="128"/>
      <c r="G14" s="44"/>
      <c r="H14" s="41"/>
      <c r="I14" s="46"/>
      <c r="K14" s="52"/>
    </row>
    <row r="15" spans="1:14" ht="28.5" hidden="1" thickBot="1" x14ac:dyDescent="0.25">
      <c r="A15" s="43">
        <v>7</v>
      </c>
      <c r="B15" s="127"/>
      <c r="C15" s="127"/>
      <c r="D15" s="127"/>
      <c r="E15" s="127"/>
      <c r="F15" s="128"/>
      <c r="G15" s="42"/>
      <c r="H15" s="41"/>
      <c r="I15" s="40"/>
      <c r="K15" s="52"/>
      <c r="L15" s="174" t="s">
        <v>94</v>
      </c>
      <c r="M15" s="174"/>
      <c r="N15" s="174"/>
    </row>
    <row r="16" spans="1:14" ht="28.5" thickBot="1" x14ac:dyDescent="0.25">
      <c r="A16" s="133"/>
      <c r="B16" s="134"/>
      <c r="C16" s="134"/>
      <c r="D16" s="134"/>
      <c r="E16" s="134"/>
      <c r="F16" s="134"/>
      <c r="G16" s="39" t="s">
        <v>93</v>
      </c>
      <c r="H16" s="38">
        <f>SUM(H7:H15)</f>
        <v>0</v>
      </c>
      <c r="I16" s="37"/>
      <c r="K16" s="52"/>
      <c r="L16" s="75" t="s">
        <v>94</v>
      </c>
      <c r="M16" s="75"/>
      <c r="N16" s="75"/>
    </row>
    <row r="17" spans="1:14" ht="24.75" customHeight="1" thickBot="1" x14ac:dyDescent="0.25">
      <c r="A17" s="130" t="s">
        <v>40</v>
      </c>
      <c r="B17" s="131"/>
      <c r="C17" s="131"/>
      <c r="D17" s="131"/>
      <c r="E17" s="131"/>
      <c r="F17" s="131"/>
      <c r="G17" s="131"/>
      <c r="H17" s="131"/>
      <c r="I17" s="132"/>
      <c r="K17" s="52"/>
      <c r="L17" s="82" t="s">
        <v>92</v>
      </c>
      <c r="M17" s="83"/>
      <c r="N17" s="84"/>
    </row>
    <row r="18" spans="1:14" ht="48.75" customHeight="1" thickBot="1" x14ac:dyDescent="0.25">
      <c r="A18" s="36" t="s">
        <v>39</v>
      </c>
      <c r="B18" s="36" t="s">
        <v>91</v>
      </c>
      <c r="C18" s="35" t="s">
        <v>37</v>
      </c>
      <c r="D18" s="82" t="s">
        <v>90</v>
      </c>
      <c r="E18" s="83"/>
      <c r="F18" s="83"/>
      <c r="G18" s="83"/>
      <c r="H18" s="84"/>
      <c r="I18" s="65" t="s">
        <v>89</v>
      </c>
      <c r="K18" s="52"/>
      <c r="L18" s="67" t="s">
        <v>88</v>
      </c>
      <c r="M18" s="34" t="s">
        <v>87</v>
      </c>
      <c r="N18" s="33" t="s">
        <v>86</v>
      </c>
    </row>
    <row r="19" spans="1:14" ht="15.75" customHeight="1" thickBot="1" x14ac:dyDescent="0.25">
      <c r="A19" s="106">
        <v>1</v>
      </c>
      <c r="B19" s="118" t="s">
        <v>33</v>
      </c>
      <c r="C19" s="94">
        <v>0.1</v>
      </c>
      <c r="D19" s="97" t="s">
        <v>85</v>
      </c>
      <c r="E19" s="98"/>
      <c r="F19" s="98"/>
      <c r="G19" s="98"/>
      <c r="H19" s="99"/>
      <c r="I19" s="71"/>
      <c r="K19" s="52"/>
      <c r="L19" s="32">
        <v>5</v>
      </c>
      <c r="M19" s="31" t="s">
        <v>84</v>
      </c>
      <c r="N19" s="28" t="s">
        <v>83</v>
      </c>
    </row>
    <row r="20" spans="1:14" ht="15.75" customHeight="1" thickBot="1" x14ac:dyDescent="0.25">
      <c r="A20" s="107"/>
      <c r="B20" s="119"/>
      <c r="C20" s="95"/>
      <c r="D20" s="100" t="s">
        <v>82</v>
      </c>
      <c r="E20" s="101"/>
      <c r="F20" s="101"/>
      <c r="G20" s="101"/>
      <c r="H20" s="102"/>
      <c r="I20" s="72"/>
      <c r="K20" s="52"/>
      <c r="L20" s="30"/>
      <c r="M20" s="29"/>
      <c r="N20" s="28" t="s">
        <v>81</v>
      </c>
    </row>
    <row r="21" spans="1:14" ht="15.75" customHeight="1" thickBot="1" x14ac:dyDescent="0.25">
      <c r="A21" s="108"/>
      <c r="B21" s="120"/>
      <c r="C21" s="96"/>
      <c r="D21" s="91" t="s">
        <v>80</v>
      </c>
      <c r="E21" s="92"/>
      <c r="F21" s="92"/>
      <c r="G21" s="92"/>
      <c r="H21" s="93"/>
      <c r="I21" s="72"/>
      <c r="K21" s="52"/>
      <c r="L21" s="32">
        <v>4</v>
      </c>
      <c r="M21" s="31" t="s">
        <v>79</v>
      </c>
      <c r="N21" s="28" t="s">
        <v>78</v>
      </c>
    </row>
    <row r="22" spans="1:14" ht="15.75" customHeight="1" thickBot="1" x14ac:dyDescent="0.25">
      <c r="A22" s="106">
        <v>2</v>
      </c>
      <c r="B22" s="118" t="s">
        <v>32</v>
      </c>
      <c r="C22" s="94">
        <v>0.05</v>
      </c>
      <c r="D22" s="97" t="s">
        <v>77</v>
      </c>
      <c r="E22" s="98"/>
      <c r="F22" s="98"/>
      <c r="G22" s="98"/>
      <c r="H22" s="99"/>
      <c r="I22" s="72"/>
      <c r="K22" s="52"/>
      <c r="L22" s="30"/>
      <c r="M22" s="29"/>
      <c r="N22" s="28" t="s">
        <v>76</v>
      </c>
    </row>
    <row r="23" spans="1:14" ht="33" customHeight="1" thickBot="1" x14ac:dyDescent="0.25">
      <c r="A23" s="107"/>
      <c r="B23" s="119"/>
      <c r="C23" s="95"/>
      <c r="D23" s="100" t="s">
        <v>75</v>
      </c>
      <c r="E23" s="101"/>
      <c r="F23" s="101"/>
      <c r="G23" s="101"/>
      <c r="H23" s="102"/>
      <c r="I23" s="72"/>
      <c r="K23" s="52"/>
      <c r="L23" s="186">
        <v>3</v>
      </c>
      <c r="M23" s="184" t="s">
        <v>74</v>
      </c>
      <c r="N23" s="28" t="s">
        <v>73</v>
      </c>
    </row>
    <row r="24" spans="1:14" ht="15.75" customHeight="1" thickBot="1" x14ac:dyDescent="0.25">
      <c r="A24" s="108"/>
      <c r="B24" s="120"/>
      <c r="C24" s="96"/>
      <c r="D24" s="91" t="s">
        <v>72</v>
      </c>
      <c r="E24" s="92"/>
      <c r="F24" s="92"/>
      <c r="G24" s="92"/>
      <c r="H24" s="93"/>
      <c r="I24" s="72"/>
      <c r="K24" s="52"/>
      <c r="L24" s="187"/>
      <c r="M24" s="185"/>
      <c r="N24" s="28" t="s">
        <v>71</v>
      </c>
    </row>
    <row r="25" spans="1:14" ht="15.75" customHeight="1" thickBot="1" x14ac:dyDescent="0.25">
      <c r="A25" s="117">
        <v>3</v>
      </c>
      <c r="B25" s="118" t="s">
        <v>28</v>
      </c>
      <c r="C25" s="94">
        <v>0.15</v>
      </c>
      <c r="D25" s="97" t="s">
        <v>70</v>
      </c>
      <c r="E25" s="98"/>
      <c r="F25" s="98"/>
      <c r="G25" s="98"/>
      <c r="H25" s="99"/>
      <c r="I25" s="72"/>
      <c r="K25" s="52"/>
      <c r="L25" s="32">
        <v>2</v>
      </c>
      <c r="M25" s="31" t="s">
        <v>69</v>
      </c>
      <c r="N25" s="28" t="s">
        <v>68</v>
      </c>
    </row>
    <row r="26" spans="1:14" ht="15.75" customHeight="1" thickBot="1" x14ac:dyDescent="0.25">
      <c r="A26" s="117"/>
      <c r="B26" s="119"/>
      <c r="C26" s="95"/>
      <c r="D26" s="100" t="s">
        <v>67</v>
      </c>
      <c r="E26" s="101"/>
      <c r="F26" s="101"/>
      <c r="G26" s="101"/>
      <c r="H26" s="102"/>
      <c r="I26" s="72"/>
      <c r="K26" s="52"/>
      <c r="L26" s="30"/>
      <c r="M26" s="29"/>
      <c r="N26" s="28" t="s">
        <v>66</v>
      </c>
    </row>
    <row r="27" spans="1:14" ht="15.75" customHeight="1" thickBot="1" x14ac:dyDescent="0.25">
      <c r="A27" s="117"/>
      <c r="B27" s="120"/>
      <c r="C27" s="96"/>
      <c r="D27" s="91" t="s">
        <v>65</v>
      </c>
      <c r="E27" s="92"/>
      <c r="F27" s="92"/>
      <c r="G27" s="92"/>
      <c r="H27" s="93"/>
      <c r="I27" s="72"/>
      <c r="K27" s="52"/>
      <c r="L27" s="32">
        <v>1</v>
      </c>
      <c r="M27" s="31" t="s">
        <v>64</v>
      </c>
      <c r="N27" s="28" t="s">
        <v>63</v>
      </c>
    </row>
    <row r="28" spans="1:14" ht="15.75" customHeight="1" thickBot="1" x14ac:dyDescent="0.25">
      <c r="A28" s="106">
        <v>4</v>
      </c>
      <c r="B28" s="118" t="s">
        <v>24</v>
      </c>
      <c r="C28" s="94">
        <v>0.2</v>
      </c>
      <c r="D28" s="97" t="s">
        <v>62</v>
      </c>
      <c r="E28" s="98"/>
      <c r="F28" s="98"/>
      <c r="G28" s="98"/>
      <c r="H28" s="99"/>
      <c r="I28" s="72"/>
      <c r="K28" s="52"/>
      <c r="L28" s="30"/>
      <c r="M28" s="29"/>
      <c r="N28" s="28" t="s">
        <v>61</v>
      </c>
    </row>
    <row r="29" spans="1:14" ht="15.75" customHeight="1" x14ac:dyDescent="0.2">
      <c r="A29" s="107"/>
      <c r="B29" s="119"/>
      <c r="C29" s="95"/>
      <c r="D29" s="100" t="s">
        <v>60</v>
      </c>
      <c r="E29" s="101"/>
      <c r="F29" s="101"/>
      <c r="G29" s="101"/>
      <c r="H29" s="102"/>
      <c r="I29" s="72"/>
      <c r="K29" s="52"/>
      <c r="L29" s="76" t="s">
        <v>104</v>
      </c>
      <c r="M29" s="77"/>
      <c r="N29" s="80" t="s">
        <v>105</v>
      </c>
    </row>
    <row r="30" spans="1:14" ht="15.75" customHeight="1" thickBot="1" x14ac:dyDescent="0.25">
      <c r="A30" s="108"/>
      <c r="B30" s="120"/>
      <c r="C30" s="96"/>
      <c r="D30" s="91" t="s">
        <v>59</v>
      </c>
      <c r="E30" s="92"/>
      <c r="F30" s="92"/>
      <c r="G30" s="92"/>
      <c r="H30" s="93"/>
      <c r="I30" s="72"/>
      <c r="K30" s="52"/>
      <c r="L30" s="78"/>
      <c r="M30" s="79"/>
      <c r="N30" s="81"/>
    </row>
    <row r="31" spans="1:14" ht="15.75" customHeight="1" x14ac:dyDescent="0.2">
      <c r="A31" s="106">
        <v>5</v>
      </c>
      <c r="B31" s="118" t="s">
        <v>21</v>
      </c>
      <c r="C31" s="94">
        <v>0.1</v>
      </c>
      <c r="D31" s="97" t="s">
        <v>58</v>
      </c>
      <c r="E31" s="98"/>
      <c r="F31" s="98"/>
      <c r="G31" s="98"/>
      <c r="H31" s="99"/>
      <c r="I31" s="72"/>
      <c r="K31" s="52"/>
    </row>
    <row r="32" spans="1:14" ht="15.75" customHeight="1" thickBot="1" x14ac:dyDescent="0.25">
      <c r="A32" s="108"/>
      <c r="B32" s="120"/>
      <c r="C32" s="96"/>
      <c r="D32" s="91" t="s">
        <v>57</v>
      </c>
      <c r="E32" s="92"/>
      <c r="F32" s="92"/>
      <c r="G32" s="92"/>
      <c r="H32" s="93"/>
      <c r="I32" s="72"/>
      <c r="K32" s="52"/>
    </row>
    <row r="33" spans="1:11" ht="15.75" customHeight="1" x14ac:dyDescent="0.2">
      <c r="A33" s="106">
        <v>6</v>
      </c>
      <c r="B33" s="118" t="s">
        <v>56</v>
      </c>
      <c r="C33" s="94">
        <v>0.4</v>
      </c>
      <c r="D33" s="97" t="s">
        <v>55</v>
      </c>
      <c r="E33" s="98"/>
      <c r="F33" s="98"/>
      <c r="G33" s="98"/>
      <c r="H33" s="99"/>
      <c r="I33" s="72"/>
      <c r="K33" s="52"/>
    </row>
    <row r="34" spans="1:11" ht="15.75" customHeight="1" x14ac:dyDescent="0.2">
      <c r="A34" s="107"/>
      <c r="B34" s="119"/>
      <c r="C34" s="95"/>
      <c r="D34" s="100" t="s">
        <v>54</v>
      </c>
      <c r="E34" s="101"/>
      <c r="F34" s="101"/>
      <c r="G34" s="101"/>
      <c r="H34" s="102"/>
      <c r="I34" s="72"/>
      <c r="K34" s="52"/>
    </row>
    <row r="35" spans="1:11" ht="15.75" customHeight="1" x14ac:dyDescent="0.2">
      <c r="A35" s="107"/>
      <c r="B35" s="119"/>
      <c r="C35" s="95"/>
      <c r="D35" s="100" t="s">
        <v>53</v>
      </c>
      <c r="E35" s="101"/>
      <c r="F35" s="101"/>
      <c r="G35" s="101"/>
      <c r="H35" s="102"/>
      <c r="I35" s="72"/>
      <c r="K35" s="52"/>
    </row>
    <row r="36" spans="1:11" ht="15.75" customHeight="1" thickBot="1" x14ac:dyDescent="0.25">
      <c r="A36" s="108"/>
      <c r="B36" s="120"/>
      <c r="C36" s="96"/>
      <c r="D36" s="151" t="s">
        <v>52</v>
      </c>
      <c r="E36" s="152"/>
      <c r="F36" s="152"/>
      <c r="G36" s="152"/>
      <c r="H36" s="153"/>
      <c r="I36" s="72"/>
      <c r="K36" s="52"/>
    </row>
    <row r="37" spans="1:11" ht="15.75" customHeight="1" thickBot="1" x14ac:dyDescent="0.25">
      <c r="A37" s="141" t="s">
        <v>93</v>
      </c>
      <c r="B37" s="142"/>
      <c r="C37" s="54">
        <f>SUM(C19:C36)</f>
        <v>1</v>
      </c>
      <c r="D37" s="143"/>
      <c r="E37" s="144"/>
      <c r="F37" s="144"/>
      <c r="G37" s="144"/>
      <c r="H37" s="144"/>
      <c r="I37" s="145"/>
      <c r="K37" s="52"/>
    </row>
    <row r="38" spans="1:11" ht="17.25" customHeight="1" thickBot="1" x14ac:dyDescent="0.25">
      <c r="A38" s="85" t="s">
        <v>3</v>
      </c>
      <c r="B38" s="86"/>
      <c r="C38" s="86"/>
      <c r="D38" s="87"/>
      <c r="E38" s="88" t="s">
        <v>2</v>
      </c>
      <c r="F38" s="89"/>
      <c r="G38" s="89"/>
      <c r="H38" s="89"/>
      <c r="I38" s="90"/>
      <c r="K38" s="52"/>
    </row>
    <row r="39" spans="1:11" ht="17.25" customHeight="1" thickBot="1" x14ac:dyDescent="0.25">
      <c r="A39" s="148" t="s">
        <v>1</v>
      </c>
      <c r="B39" s="149"/>
      <c r="C39" s="149" t="s">
        <v>102</v>
      </c>
      <c r="D39" s="150"/>
      <c r="E39" s="88" t="s">
        <v>0</v>
      </c>
      <c r="F39" s="89"/>
      <c r="G39" s="89"/>
      <c r="H39" s="89"/>
      <c r="I39" s="90"/>
      <c r="K39" s="52"/>
    </row>
    <row r="40" spans="1:11" ht="18" customHeight="1" x14ac:dyDescent="0.2">
      <c r="A40" s="154" t="s">
        <v>51</v>
      </c>
      <c r="B40" s="154"/>
      <c r="C40" s="4"/>
      <c r="D40" s="4"/>
      <c r="K40" s="52"/>
    </row>
    <row r="41" spans="1:11" ht="12.75" customHeight="1" x14ac:dyDescent="0.2">
      <c r="A41" s="27"/>
      <c r="B41" s="27"/>
      <c r="K41" s="52"/>
    </row>
    <row r="42" spans="1:11" ht="12.75" customHeight="1" x14ac:dyDescent="0.2">
      <c r="A42" s="27"/>
      <c r="B42" s="27"/>
      <c r="K42" s="52"/>
    </row>
    <row r="43" spans="1:11" ht="12.75" customHeight="1" x14ac:dyDescent="0.2">
      <c r="A43" s="27"/>
      <c r="B43" s="27"/>
      <c r="K43" s="52"/>
    </row>
    <row r="44" spans="1:11" ht="12.75" customHeight="1" x14ac:dyDescent="0.2">
      <c r="A44" s="27"/>
      <c r="B44" s="27"/>
      <c r="K44" s="52"/>
    </row>
    <row r="45" spans="1:11" ht="75.75" customHeight="1" thickBot="1" x14ac:dyDescent="0.25">
      <c r="A45" s="140" t="s">
        <v>50</v>
      </c>
      <c r="B45" s="140"/>
      <c r="C45" s="140"/>
      <c r="D45" s="140"/>
      <c r="E45" s="140"/>
      <c r="F45" s="140"/>
      <c r="G45" s="140"/>
      <c r="H45" s="140"/>
      <c r="I45" s="140"/>
      <c r="K45" s="52"/>
    </row>
    <row r="46" spans="1:11" ht="23.25" customHeight="1" thickBot="1" x14ac:dyDescent="0.25">
      <c r="A46" s="103" t="str">
        <f>A2</f>
        <v xml:space="preserve">اسم الموظف: </v>
      </c>
      <c r="B46" s="104"/>
      <c r="C46" s="104"/>
      <c r="D46" s="103" t="str">
        <f>D2</f>
        <v xml:space="preserve">الوكالة / الادارة العامة: </v>
      </c>
      <c r="E46" s="104"/>
      <c r="F46" s="104"/>
      <c r="G46" s="104"/>
      <c r="H46" s="104"/>
      <c r="I46" s="105"/>
      <c r="K46" s="52"/>
    </row>
    <row r="47" spans="1:11" ht="23.25" customHeight="1" thickBot="1" x14ac:dyDescent="0.25">
      <c r="A47" s="103" t="str">
        <f>A3</f>
        <v xml:space="preserve">المسمى الوظيفي: </v>
      </c>
      <c r="B47" s="104"/>
      <c r="C47" s="104"/>
      <c r="D47" s="103" t="str">
        <f>D3</f>
        <v xml:space="preserve">الإدارة /القسم: </v>
      </c>
      <c r="E47" s="104"/>
      <c r="F47" s="104"/>
      <c r="G47" s="104"/>
      <c r="H47" s="104"/>
      <c r="I47" s="105"/>
      <c r="K47" s="52"/>
    </row>
    <row r="48" spans="1:11" ht="23.25" customHeight="1" thickBot="1" x14ac:dyDescent="0.25">
      <c r="A48" s="103" t="str">
        <f>A4</f>
        <v xml:space="preserve">الرقم الوظيفي: </v>
      </c>
      <c r="B48" s="104"/>
      <c r="C48" s="104"/>
      <c r="D48" s="103" t="str">
        <f>D4</f>
        <v xml:space="preserve">المدير (المقيم): </v>
      </c>
      <c r="E48" s="104"/>
      <c r="F48" s="104"/>
      <c r="G48" s="104"/>
      <c r="H48" s="104"/>
      <c r="I48" s="105"/>
      <c r="K48" s="52"/>
    </row>
    <row r="49" spans="1:11" ht="26.25" customHeight="1" thickBot="1" x14ac:dyDescent="0.25">
      <c r="A49" s="6"/>
      <c r="B49" s="146" t="s">
        <v>49</v>
      </c>
      <c r="C49" s="146"/>
      <c r="D49" s="146"/>
      <c r="E49" s="146"/>
      <c r="F49" s="146"/>
      <c r="G49" s="146"/>
      <c r="H49" s="146"/>
      <c r="I49" s="147"/>
      <c r="K49" s="52"/>
    </row>
    <row r="50" spans="1:11" ht="39" customHeight="1" thickBot="1" x14ac:dyDescent="0.25">
      <c r="A50" s="16" t="s">
        <v>39</v>
      </c>
      <c r="B50" s="26" t="s">
        <v>48</v>
      </c>
      <c r="C50" s="25" t="s">
        <v>47</v>
      </c>
      <c r="D50" s="24" t="s">
        <v>46</v>
      </c>
      <c r="E50" s="23" t="s">
        <v>45</v>
      </c>
      <c r="F50" s="23" t="s">
        <v>44</v>
      </c>
      <c r="G50" s="23" t="s">
        <v>43</v>
      </c>
      <c r="H50" s="66" t="s">
        <v>42</v>
      </c>
      <c r="I50" s="49" t="s">
        <v>34</v>
      </c>
      <c r="K50" s="52"/>
    </row>
    <row r="51" spans="1:11" ht="21.75" customHeight="1" thickBot="1" x14ac:dyDescent="0.25">
      <c r="A51" s="16">
        <v>1</v>
      </c>
      <c r="B51" s="21">
        <f t="shared" ref="B51:B56" si="0">B7</f>
        <v>0</v>
      </c>
      <c r="C51" s="17">
        <f t="shared" ref="C51:E56" si="1">G7</f>
        <v>0</v>
      </c>
      <c r="D51" s="20">
        <f t="shared" si="1"/>
        <v>0</v>
      </c>
      <c r="E51" s="17"/>
      <c r="F51" s="73"/>
      <c r="G51" s="17"/>
      <c r="H51" s="18"/>
      <c r="I51" s="51">
        <f t="shared" ref="I51:I59" si="2">IF(NOT(ISBLANK(D51)), H51*D51,"")</f>
        <v>0</v>
      </c>
      <c r="J51" s="22"/>
      <c r="K51" s="52"/>
    </row>
    <row r="52" spans="1:11" ht="21.75" customHeight="1" thickBot="1" x14ac:dyDescent="0.25">
      <c r="A52" s="16">
        <v>2</v>
      </c>
      <c r="B52" s="21">
        <f t="shared" si="0"/>
        <v>0</v>
      </c>
      <c r="C52" s="17">
        <f t="shared" si="1"/>
        <v>0</v>
      </c>
      <c r="D52" s="20">
        <f t="shared" si="1"/>
        <v>0</v>
      </c>
      <c r="E52" s="17"/>
      <c r="F52" s="73"/>
      <c r="G52" s="17"/>
      <c r="H52" s="18"/>
      <c r="I52" s="51">
        <f t="shared" si="2"/>
        <v>0</v>
      </c>
      <c r="J52" s="22"/>
      <c r="K52" s="52"/>
    </row>
    <row r="53" spans="1:11" ht="21.75" customHeight="1" thickBot="1" x14ac:dyDescent="0.25">
      <c r="A53" s="16">
        <v>3</v>
      </c>
      <c r="B53" s="21">
        <f t="shared" si="0"/>
        <v>0</v>
      </c>
      <c r="C53" s="17">
        <f t="shared" si="1"/>
        <v>0</v>
      </c>
      <c r="D53" s="20">
        <f t="shared" si="1"/>
        <v>0</v>
      </c>
      <c r="E53" s="17"/>
      <c r="F53" s="73"/>
      <c r="G53" s="17"/>
      <c r="H53" s="18"/>
      <c r="I53" s="51">
        <f t="shared" si="2"/>
        <v>0</v>
      </c>
      <c r="J53" s="22"/>
      <c r="K53" s="52"/>
    </row>
    <row r="54" spans="1:11" ht="21.75" customHeight="1" thickBot="1" x14ac:dyDescent="0.25">
      <c r="A54" s="16">
        <v>4</v>
      </c>
      <c r="B54" s="21">
        <f t="shared" si="0"/>
        <v>0</v>
      </c>
      <c r="C54" s="17">
        <f t="shared" si="1"/>
        <v>0</v>
      </c>
      <c r="D54" s="20">
        <f t="shared" si="1"/>
        <v>0</v>
      </c>
      <c r="E54" s="17"/>
      <c r="F54" s="73"/>
      <c r="G54" s="17"/>
      <c r="H54" s="18"/>
      <c r="I54" s="51">
        <f t="shared" si="2"/>
        <v>0</v>
      </c>
      <c r="J54" s="22">
        <v>1</v>
      </c>
      <c r="K54" s="52"/>
    </row>
    <row r="55" spans="1:11" ht="21.75" customHeight="1" thickBot="1" x14ac:dyDescent="0.25">
      <c r="A55" s="16">
        <v>5</v>
      </c>
      <c r="B55" s="21">
        <f t="shared" si="0"/>
        <v>0</v>
      </c>
      <c r="C55" s="17">
        <f t="shared" si="1"/>
        <v>0</v>
      </c>
      <c r="D55" s="20">
        <f t="shared" si="1"/>
        <v>0</v>
      </c>
      <c r="E55" s="17"/>
      <c r="F55" s="73"/>
      <c r="G55" s="17"/>
      <c r="H55" s="18"/>
      <c r="I55" s="51">
        <f t="shared" si="2"/>
        <v>0</v>
      </c>
      <c r="J55" s="22">
        <v>2</v>
      </c>
      <c r="K55" s="52"/>
    </row>
    <row r="56" spans="1:11" ht="21.75" customHeight="1" thickBot="1" x14ac:dyDescent="0.25">
      <c r="A56" s="16">
        <v>6</v>
      </c>
      <c r="B56" s="21">
        <f t="shared" si="0"/>
        <v>0</v>
      </c>
      <c r="C56" s="17">
        <f t="shared" si="1"/>
        <v>0</v>
      </c>
      <c r="D56" s="20">
        <f t="shared" si="1"/>
        <v>0</v>
      </c>
      <c r="E56" s="17"/>
      <c r="F56" s="73"/>
      <c r="G56" s="17"/>
      <c r="H56" s="18"/>
      <c r="I56" s="51">
        <f t="shared" si="2"/>
        <v>0</v>
      </c>
      <c r="J56" s="22">
        <v>3</v>
      </c>
      <c r="K56" s="52"/>
    </row>
    <row r="57" spans="1:11" ht="0.75" customHeight="1" thickBot="1" x14ac:dyDescent="0.25">
      <c r="A57" s="16">
        <v>5</v>
      </c>
      <c r="B57" s="21"/>
      <c r="C57" s="17"/>
      <c r="D57" s="20"/>
      <c r="E57" s="17"/>
      <c r="F57" s="19"/>
      <c r="G57" s="17"/>
      <c r="H57" s="18"/>
      <c r="I57" s="51" t="str">
        <f t="shared" si="2"/>
        <v/>
      </c>
      <c r="J57" s="22">
        <v>4</v>
      </c>
      <c r="K57" s="52"/>
    </row>
    <row r="58" spans="1:11" ht="13.5" hidden="1" customHeight="1" thickBot="1" x14ac:dyDescent="0.25">
      <c r="A58" s="16">
        <v>6</v>
      </c>
      <c r="B58" s="21"/>
      <c r="C58" s="17"/>
      <c r="D58" s="20"/>
      <c r="E58" s="17"/>
      <c r="F58" s="19"/>
      <c r="G58" s="17"/>
      <c r="H58" s="18"/>
      <c r="I58" s="51" t="str">
        <f t="shared" si="2"/>
        <v/>
      </c>
      <c r="J58" s="22">
        <v>5</v>
      </c>
      <c r="K58" s="52"/>
    </row>
    <row r="59" spans="1:11" ht="14.25" hidden="1" customHeight="1" thickBot="1" x14ac:dyDescent="0.25">
      <c r="A59" s="16">
        <v>7</v>
      </c>
      <c r="B59" s="21">
        <f>B15</f>
        <v>0</v>
      </c>
      <c r="C59" s="17">
        <f>G15</f>
        <v>0</v>
      </c>
      <c r="D59" s="20">
        <f>H15</f>
        <v>0</v>
      </c>
      <c r="E59" s="17">
        <f>I15</f>
        <v>0</v>
      </c>
      <c r="F59" s="19"/>
      <c r="G59" s="17">
        <f t="shared" ref="G59" si="3">F59-E59</f>
        <v>0</v>
      </c>
      <c r="H59" s="18"/>
      <c r="I59" s="51">
        <f t="shared" si="2"/>
        <v>0</v>
      </c>
      <c r="K59" s="52"/>
    </row>
    <row r="60" spans="1:11" ht="28.5" customHeight="1" thickBot="1" x14ac:dyDescent="0.25">
      <c r="A60" s="16"/>
      <c r="B60" s="133" t="s">
        <v>41</v>
      </c>
      <c r="C60" s="134"/>
      <c r="D60" s="15">
        <f>SUM(D51:D59)</f>
        <v>0</v>
      </c>
      <c r="E60" s="137" t="s">
        <v>6</v>
      </c>
      <c r="F60" s="138"/>
      <c r="G60" s="138"/>
      <c r="H60" s="14" t="str">
        <f>IF(D60=100%,SUM(I51:I59),"")</f>
        <v/>
      </c>
      <c r="I60" s="50"/>
      <c r="K60" s="52"/>
    </row>
    <row r="61" spans="1:11" ht="28.5" customHeight="1" thickBot="1" x14ac:dyDescent="0.25">
      <c r="A61" s="13"/>
      <c r="B61" s="135" t="s">
        <v>40</v>
      </c>
      <c r="C61" s="135"/>
      <c r="D61" s="135"/>
      <c r="E61" s="135"/>
      <c r="F61" s="135"/>
      <c r="G61" s="135"/>
      <c r="H61" s="135"/>
      <c r="I61" s="136"/>
      <c r="K61" s="52"/>
    </row>
    <row r="62" spans="1:11" ht="37.5" customHeight="1" thickBot="1" x14ac:dyDescent="0.25">
      <c r="A62" s="11" t="s">
        <v>39</v>
      </c>
      <c r="B62" s="12" t="s">
        <v>38</v>
      </c>
      <c r="C62" s="11" t="s">
        <v>37</v>
      </c>
      <c r="D62" s="137" t="s">
        <v>36</v>
      </c>
      <c r="E62" s="138"/>
      <c r="F62" s="138"/>
      <c r="G62" s="139"/>
      <c r="H62" s="64" t="s">
        <v>35</v>
      </c>
      <c r="I62" s="63" t="s">
        <v>103</v>
      </c>
      <c r="K62" s="52"/>
    </row>
    <row r="63" spans="1:11" ht="21.75" customHeight="1" thickBot="1" x14ac:dyDescent="0.25">
      <c r="A63" s="177">
        <v>1</v>
      </c>
      <c r="B63" s="168" t="s">
        <v>33</v>
      </c>
      <c r="C63" s="157">
        <f>C19</f>
        <v>0.1</v>
      </c>
      <c r="D63" s="159" t="s">
        <v>96</v>
      </c>
      <c r="E63" s="160"/>
      <c r="F63" s="160"/>
      <c r="G63" s="161"/>
      <c r="H63" s="74"/>
      <c r="I63" s="55"/>
      <c r="K63" s="52"/>
    </row>
    <row r="64" spans="1:11" ht="21.75" customHeight="1" thickBot="1" x14ac:dyDescent="0.25">
      <c r="A64" s="178"/>
      <c r="B64" s="155"/>
      <c r="C64" s="156"/>
      <c r="D64" s="162" t="s">
        <v>98</v>
      </c>
      <c r="E64" s="163"/>
      <c r="F64" s="163"/>
      <c r="G64" s="164"/>
      <c r="H64" s="74"/>
      <c r="I64" s="56"/>
      <c r="K64" s="52"/>
    </row>
    <row r="65" spans="1:11" ht="21.75" customHeight="1" thickBot="1" x14ac:dyDescent="0.25">
      <c r="A65" s="179"/>
      <c r="B65" s="169"/>
      <c r="C65" s="158"/>
      <c r="D65" s="165" t="s">
        <v>97</v>
      </c>
      <c r="E65" s="166"/>
      <c r="F65" s="166"/>
      <c r="G65" s="167"/>
      <c r="H65" s="74"/>
      <c r="I65" s="57"/>
      <c r="K65" s="52"/>
    </row>
    <row r="66" spans="1:11" ht="21.75" customHeight="1" thickBot="1" x14ac:dyDescent="0.25">
      <c r="A66" s="178">
        <v>2</v>
      </c>
      <c r="B66" s="155" t="s">
        <v>32</v>
      </c>
      <c r="C66" s="156">
        <f>C22</f>
        <v>0.05</v>
      </c>
      <c r="D66" s="180" t="s">
        <v>31</v>
      </c>
      <c r="E66" s="181"/>
      <c r="F66" s="181"/>
      <c r="G66" s="182"/>
      <c r="H66" s="74"/>
      <c r="I66" s="55"/>
      <c r="K66" s="52"/>
    </row>
    <row r="67" spans="1:11" ht="21.75" customHeight="1" thickBot="1" x14ac:dyDescent="0.25">
      <c r="A67" s="178"/>
      <c r="B67" s="155"/>
      <c r="C67" s="156"/>
      <c r="D67" s="162" t="s">
        <v>30</v>
      </c>
      <c r="E67" s="163"/>
      <c r="F67" s="163"/>
      <c r="G67" s="164"/>
      <c r="H67" s="74"/>
      <c r="I67" s="56"/>
      <c r="K67" s="52"/>
    </row>
    <row r="68" spans="1:11" ht="21.75" customHeight="1" thickBot="1" x14ac:dyDescent="0.25">
      <c r="A68" s="178"/>
      <c r="B68" s="155"/>
      <c r="C68" s="156"/>
      <c r="D68" s="170" t="s">
        <v>29</v>
      </c>
      <c r="E68" s="171"/>
      <c r="F68" s="171"/>
      <c r="G68" s="172"/>
      <c r="H68" s="74"/>
      <c r="I68" s="57"/>
      <c r="K68" s="52"/>
    </row>
    <row r="69" spans="1:11" ht="21.75" customHeight="1" thickBot="1" x14ac:dyDescent="0.25">
      <c r="A69" s="177">
        <v>3</v>
      </c>
      <c r="B69" s="168" t="s">
        <v>28</v>
      </c>
      <c r="C69" s="157">
        <f>C25</f>
        <v>0.15</v>
      </c>
      <c r="D69" s="159" t="s">
        <v>27</v>
      </c>
      <c r="E69" s="160"/>
      <c r="F69" s="160"/>
      <c r="G69" s="161"/>
      <c r="H69" s="74"/>
      <c r="I69" s="55"/>
      <c r="K69" s="52"/>
    </row>
    <row r="70" spans="1:11" ht="21.75" customHeight="1" thickBot="1" x14ac:dyDescent="0.25">
      <c r="A70" s="178"/>
      <c r="B70" s="155"/>
      <c r="C70" s="156"/>
      <c r="D70" s="162" t="s">
        <v>26</v>
      </c>
      <c r="E70" s="163"/>
      <c r="F70" s="163"/>
      <c r="G70" s="164"/>
      <c r="H70" s="74"/>
      <c r="I70" s="56"/>
      <c r="J70" s="10"/>
      <c r="K70" s="53"/>
    </row>
    <row r="71" spans="1:11" ht="21.75" customHeight="1" thickBot="1" x14ac:dyDescent="0.25">
      <c r="A71" s="179"/>
      <c r="B71" s="169"/>
      <c r="C71" s="158"/>
      <c r="D71" s="165" t="s">
        <v>25</v>
      </c>
      <c r="E71" s="166"/>
      <c r="F71" s="166"/>
      <c r="G71" s="167"/>
      <c r="H71" s="74"/>
      <c r="I71" s="57"/>
      <c r="K71" s="52"/>
    </row>
    <row r="72" spans="1:11" ht="21.75" customHeight="1" thickBot="1" x14ac:dyDescent="0.25">
      <c r="A72" s="178">
        <v>4</v>
      </c>
      <c r="B72" s="155" t="s">
        <v>24</v>
      </c>
      <c r="C72" s="156">
        <f>C28</f>
        <v>0.2</v>
      </c>
      <c r="D72" s="180" t="s">
        <v>99</v>
      </c>
      <c r="E72" s="181"/>
      <c r="F72" s="181"/>
      <c r="G72" s="182"/>
      <c r="H72" s="74"/>
      <c r="I72" s="55"/>
      <c r="K72" s="52"/>
    </row>
    <row r="73" spans="1:11" ht="21.75" customHeight="1" thickBot="1" x14ac:dyDescent="0.25">
      <c r="A73" s="178"/>
      <c r="B73" s="155"/>
      <c r="C73" s="156"/>
      <c r="D73" s="162" t="s">
        <v>23</v>
      </c>
      <c r="E73" s="163"/>
      <c r="F73" s="163"/>
      <c r="G73" s="164"/>
      <c r="H73" s="74"/>
      <c r="I73" s="56"/>
      <c r="K73" s="52"/>
    </row>
    <row r="74" spans="1:11" ht="21.75" customHeight="1" thickBot="1" x14ac:dyDescent="0.25">
      <c r="A74" s="178"/>
      <c r="B74" s="155"/>
      <c r="C74" s="156"/>
      <c r="D74" s="170" t="s">
        <v>22</v>
      </c>
      <c r="E74" s="171"/>
      <c r="F74" s="171"/>
      <c r="G74" s="172"/>
      <c r="H74" s="74"/>
      <c r="I74" s="57"/>
      <c r="K74" s="52"/>
    </row>
    <row r="75" spans="1:11" ht="21.75" customHeight="1" thickBot="1" x14ac:dyDescent="0.25">
      <c r="A75" s="177">
        <v>5</v>
      </c>
      <c r="B75" s="168" t="s">
        <v>21</v>
      </c>
      <c r="C75" s="157">
        <f>C31</f>
        <v>0.1</v>
      </c>
      <c r="D75" s="159" t="s">
        <v>20</v>
      </c>
      <c r="E75" s="160"/>
      <c r="F75" s="160"/>
      <c r="G75" s="161"/>
      <c r="H75" s="74"/>
      <c r="I75" s="55"/>
      <c r="K75" s="52"/>
    </row>
    <row r="76" spans="1:11" ht="21.75" customHeight="1" thickBot="1" x14ac:dyDescent="0.25">
      <c r="A76" s="179"/>
      <c r="B76" s="155"/>
      <c r="C76" s="158"/>
      <c r="D76" s="165" t="s">
        <v>19</v>
      </c>
      <c r="E76" s="166"/>
      <c r="F76" s="166"/>
      <c r="G76" s="167"/>
      <c r="H76" s="74"/>
      <c r="I76" s="57"/>
      <c r="K76" s="52"/>
    </row>
    <row r="77" spans="1:11" ht="21.75" customHeight="1" thickBot="1" x14ac:dyDescent="0.25">
      <c r="A77" s="178">
        <v>6</v>
      </c>
      <c r="B77" s="168" t="s">
        <v>18</v>
      </c>
      <c r="C77" s="157">
        <f>C33</f>
        <v>0.4</v>
      </c>
      <c r="D77" s="159" t="s">
        <v>17</v>
      </c>
      <c r="E77" s="160"/>
      <c r="F77" s="160"/>
      <c r="G77" s="161"/>
      <c r="H77" s="74"/>
      <c r="I77" s="55"/>
      <c r="K77" s="52"/>
    </row>
    <row r="78" spans="1:11" ht="21.75" customHeight="1" thickBot="1" x14ac:dyDescent="0.25">
      <c r="A78" s="178"/>
      <c r="B78" s="155"/>
      <c r="C78" s="156"/>
      <c r="D78" s="162" t="s">
        <v>16</v>
      </c>
      <c r="E78" s="163"/>
      <c r="F78" s="163"/>
      <c r="G78" s="164"/>
      <c r="H78" s="74"/>
      <c r="I78" s="56"/>
      <c r="K78" s="52"/>
    </row>
    <row r="79" spans="1:11" ht="21.75" customHeight="1" thickBot="1" x14ac:dyDescent="0.25">
      <c r="A79" s="178"/>
      <c r="B79" s="155"/>
      <c r="C79" s="156"/>
      <c r="D79" s="162" t="s">
        <v>15</v>
      </c>
      <c r="E79" s="163"/>
      <c r="F79" s="163"/>
      <c r="G79" s="164"/>
      <c r="H79" s="74"/>
      <c r="I79" s="56"/>
      <c r="K79" s="52"/>
    </row>
    <row r="80" spans="1:11" ht="21.75" customHeight="1" thickBot="1" x14ac:dyDescent="0.25">
      <c r="A80" s="179"/>
      <c r="B80" s="169"/>
      <c r="C80" s="158"/>
      <c r="D80" s="165" t="s">
        <v>14</v>
      </c>
      <c r="E80" s="166"/>
      <c r="F80" s="166"/>
      <c r="G80" s="167"/>
      <c r="H80" s="74"/>
      <c r="I80" s="57"/>
      <c r="K80" s="52"/>
    </row>
    <row r="81" spans="1:11" ht="0.75" hidden="1" customHeight="1" thickBot="1" x14ac:dyDescent="0.25">
      <c r="A81" s="6"/>
      <c r="B81" s="188" t="s">
        <v>13</v>
      </c>
      <c r="C81" s="157">
        <v>0</v>
      </c>
      <c r="D81" s="190" t="s">
        <v>12</v>
      </c>
      <c r="E81" s="191"/>
      <c r="F81" s="191"/>
      <c r="G81" s="192"/>
      <c r="H81" s="9">
        <v>0</v>
      </c>
      <c r="I81" s="193">
        <f>C81*(H85+H83+H82+H84+H81)/5</f>
        <v>0</v>
      </c>
      <c r="K81" s="52"/>
    </row>
    <row r="82" spans="1:11" ht="21.75" hidden="1" customHeight="1" thickBot="1" x14ac:dyDescent="0.25">
      <c r="A82" s="6"/>
      <c r="B82" s="189"/>
      <c r="C82" s="156"/>
      <c r="D82" s="194" t="s">
        <v>11</v>
      </c>
      <c r="E82" s="195"/>
      <c r="F82" s="195"/>
      <c r="G82" s="196"/>
      <c r="H82" s="8">
        <v>0</v>
      </c>
      <c r="I82" s="193"/>
      <c r="K82" s="52"/>
    </row>
    <row r="83" spans="1:11" ht="21.75" hidden="1" customHeight="1" thickBot="1" x14ac:dyDescent="0.25">
      <c r="A83" s="6"/>
      <c r="B83" s="189"/>
      <c r="C83" s="156"/>
      <c r="D83" s="194" t="s">
        <v>10</v>
      </c>
      <c r="E83" s="195"/>
      <c r="F83" s="195"/>
      <c r="G83" s="196"/>
      <c r="H83" s="8">
        <v>0</v>
      </c>
      <c r="I83" s="193"/>
      <c r="K83" s="52"/>
    </row>
    <row r="84" spans="1:11" ht="21.75" hidden="1" customHeight="1" thickBot="1" x14ac:dyDescent="0.25">
      <c r="A84" s="6"/>
      <c r="B84" s="189"/>
      <c r="C84" s="156"/>
      <c r="D84" s="194" t="s">
        <v>9</v>
      </c>
      <c r="E84" s="195"/>
      <c r="F84" s="195"/>
      <c r="G84" s="196"/>
      <c r="H84" s="8">
        <v>0</v>
      </c>
      <c r="I84" s="193"/>
      <c r="K84" s="52"/>
    </row>
    <row r="85" spans="1:11" ht="21.75" hidden="1" customHeight="1" thickBot="1" x14ac:dyDescent="0.25">
      <c r="A85" s="6"/>
      <c r="B85" s="189"/>
      <c r="C85" s="156"/>
      <c r="D85" s="197" t="s">
        <v>8</v>
      </c>
      <c r="E85" s="198"/>
      <c r="F85" s="198"/>
      <c r="G85" s="199"/>
      <c r="H85" s="58">
        <v>0</v>
      </c>
      <c r="I85" s="193"/>
      <c r="K85" s="52"/>
    </row>
    <row r="86" spans="1:11" ht="25.5" customHeight="1" thickBot="1" x14ac:dyDescent="0.25">
      <c r="A86" s="6"/>
      <c r="B86" s="60" t="s">
        <v>7</v>
      </c>
      <c r="C86" s="61">
        <f>SUM(C63:C85)</f>
        <v>1</v>
      </c>
      <c r="D86" s="133" t="s">
        <v>6</v>
      </c>
      <c r="E86" s="134"/>
      <c r="F86" s="134"/>
      <c r="G86" s="175"/>
      <c r="H86" s="59"/>
      <c r="I86" s="62">
        <f>IF(C86=100%,SUM(I63:I80),"")/18</f>
        <v>0</v>
      </c>
      <c r="K86" s="52"/>
    </row>
    <row r="87" spans="1:11" ht="15" thickBot="1" x14ac:dyDescent="0.25">
      <c r="A87" s="6"/>
      <c r="B87" s="7"/>
      <c r="C87" s="7"/>
      <c r="D87" s="7"/>
      <c r="E87" s="7"/>
      <c r="F87" s="6"/>
      <c r="G87" s="6"/>
      <c r="H87" s="6"/>
      <c r="I87" s="6"/>
      <c r="K87" s="52"/>
    </row>
    <row r="88" spans="1:11" ht="40.5" customHeight="1" thickBot="1" x14ac:dyDescent="0.25">
      <c r="A88" s="6"/>
      <c r="B88" s="203" t="s">
        <v>5</v>
      </c>
      <c r="C88" s="204"/>
      <c r="D88" s="205" t="e">
        <f>(0.3*H60)+(0.7*I86)</f>
        <v>#VALUE!</v>
      </c>
      <c r="E88" s="206"/>
      <c r="F88" s="206"/>
      <c r="G88" s="206"/>
      <c r="H88" s="207"/>
      <c r="I88" s="6"/>
      <c r="K88" s="52"/>
    </row>
    <row r="89" spans="1:11" ht="15.75" thickBot="1" x14ac:dyDescent="0.25">
      <c r="A89" s="5"/>
      <c r="B89" s="176" t="s">
        <v>4</v>
      </c>
      <c r="C89" s="176"/>
      <c r="D89" s="176"/>
      <c r="E89" s="176"/>
      <c r="F89" s="176"/>
      <c r="G89" s="176"/>
      <c r="H89" s="176"/>
      <c r="I89" s="176"/>
      <c r="K89" s="52"/>
    </row>
    <row r="90" spans="1:11" ht="20.25" customHeight="1" thickBot="1" x14ac:dyDescent="0.25">
      <c r="A90" s="85" t="s">
        <v>3</v>
      </c>
      <c r="B90" s="86"/>
      <c r="C90" s="86"/>
      <c r="D90" s="87"/>
      <c r="E90" s="88" t="s">
        <v>2</v>
      </c>
      <c r="F90" s="89"/>
      <c r="G90" s="89"/>
      <c r="H90" s="89"/>
      <c r="I90" s="90"/>
      <c r="K90" s="52"/>
    </row>
    <row r="91" spans="1:11" ht="20.25" customHeight="1" thickBot="1" x14ac:dyDescent="0.25">
      <c r="A91" s="148" t="s">
        <v>1</v>
      </c>
      <c r="B91" s="149"/>
      <c r="C91" s="149" t="s">
        <v>102</v>
      </c>
      <c r="D91" s="150"/>
      <c r="E91" s="200" t="s">
        <v>0</v>
      </c>
      <c r="F91" s="201"/>
      <c r="G91" s="201"/>
      <c r="H91" s="201"/>
      <c r="I91" s="202"/>
      <c r="K91" s="52"/>
    </row>
    <row r="92" spans="1:11" ht="18.75" customHeight="1" x14ac:dyDescent="0.2">
      <c r="A92" s="173" t="s">
        <v>101</v>
      </c>
      <c r="B92" s="173"/>
      <c r="C92" s="173"/>
      <c r="D92" s="173"/>
      <c r="E92" s="173"/>
      <c r="F92" s="173"/>
      <c r="G92" s="173"/>
      <c r="H92" s="173"/>
      <c r="I92" s="173"/>
      <c r="K92" s="52"/>
    </row>
    <row r="93" spans="1:11" x14ac:dyDescent="0.2">
      <c r="A93" s="3"/>
      <c r="B93" s="4"/>
      <c r="C93" s="4"/>
      <c r="D93" s="4"/>
      <c r="E93" s="4"/>
      <c r="F93" s="3"/>
      <c r="G93" s="3"/>
      <c r="H93" s="3"/>
      <c r="I93" s="3"/>
    </row>
  </sheetData>
  <mergeCells count="138">
    <mergeCell ref="B12:F12"/>
    <mergeCell ref="B11:F11"/>
    <mergeCell ref="B8:F8"/>
    <mergeCell ref="B9:F9"/>
    <mergeCell ref="M23:M24"/>
    <mergeCell ref="L23:L24"/>
    <mergeCell ref="A91:B91"/>
    <mergeCell ref="C91:D91"/>
    <mergeCell ref="D75:G75"/>
    <mergeCell ref="B81:B85"/>
    <mergeCell ref="C81:C85"/>
    <mergeCell ref="D81:G81"/>
    <mergeCell ref="I81:I85"/>
    <mergeCell ref="D82:G82"/>
    <mergeCell ref="D83:G83"/>
    <mergeCell ref="D84:G84"/>
    <mergeCell ref="D85:G85"/>
    <mergeCell ref="B75:B76"/>
    <mergeCell ref="C75:C76"/>
    <mergeCell ref="E91:I91"/>
    <mergeCell ref="B88:C88"/>
    <mergeCell ref="D88:H88"/>
    <mergeCell ref="D66:G66"/>
    <mergeCell ref="D67:G67"/>
    <mergeCell ref="A92:I92"/>
    <mergeCell ref="L15:N15"/>
    <mergeCell ref="D86:G86"/>
    <mergeCell ref="B89:I89"/>
    <mergeCell ref="A63:A65"/>
    <mergeCell ref="A66:A68"/>
    <mergeCell ref="A69:A71"/>
    <mergeCell ref="A72:A74"/>
    <mergeCell ref="A75:A76"/>
    <mergeCell ref="A77:A80"/>
    <mergeCell ref="B72:B74"/>
    <mergeCell ref="C72:C74"/>
    <mergeCell ref="D72:G72"/>
    <mergeCell ref="D73:G73"/>
    <mergeCell ref="D74:G74"/>
    <mergeCell ref="D76:G76"/>
    <mergeCell ref="B77:B80"/>
    <mergeCell ref="C77:C80"/>
    <mergeCell ref="D77:G77"/>
    <mergeCell ref="D78:G78"/>
    <mergeCell ref="D79:G79"/>
    <mergeCell ref="D80:G80"/>
    <mergeCell ref="C69:C71"/>
    <mergeCell ref="D69:G69"/>
    <mergeCell ref="D70:G70"/>
    <mergeCell ref="D71:G71"/>
    <mergeCell ref="B63:B65"/>
    <mergeCell ref="C63:C65"/>
    <mergeCell ref="D63:G63"/>
    <mergeCell ref="D64:G64"/>
    <mergeCell ref="D65:G65"/>
    <mergeCell ref="D68:G68"/>
    <mergeCell ref="B69:B71"/>
    <mergeCell ref="B60:C60"/>
    <mergeCell ref="E60:G60"/>
    <mergeCell ref="A38:D38"/>
    <mergeCell ref="E38:I38"/>
    <mergeCell ref="E39:I39"/>
    <mergeCell ref="A40:B40"/>
    <mergeCell ref="A22:A24"/>
    <mergeCell ref="B66:B68"/>
    <mergeCell ref="C66:C68"/>
    <mergeCell ref="B13:F13"/>
    <mergeCell ref="B14:F14"/>
    <mergeCell ref="B15:F15"/>
    <mergeCell ref="A17:I17"/>
    <mergeCell ref="A16:F16"/>
    <mergeCell ref="B28:B30"/>
    <mergeCell ref="A31:A32"/>
    <mergeCell ref="B61:I61"/>
    <mergeCell ref="D62:G62"/>
    <mergeCell ref="A45:I45"/>
    <mergeCell ref="A37:B37"/>
    <mergeCell ref="D37:I37"/>
    <mergeCell ref="B49:I49"/>
    <mergeCell ref="A39:B39"/>
    <mergeCell ref="B22:B24"/>
    <mergeCell ref="A33:A36"/>
    <mergeCell ref="B33:B36"/>
    <mergeCell ref="C33:C36"/>
    <mergeCell ref="B31:B32"/>
    <mergeCell ref="C39:D39"/>
    <mergeCell ref="D33:H33"/>
    <mergeCell ref="D34:H34"/>
    <mergeCell ref="D35:H35"/>
    <mergeCell ref="D36:H36"/>
    <mergeCell ref="A1:I1"/>
    <mergeCell ref="A2:C2"/>
    <mergeCell ref="D2:I2"/>
    <mergeCell ref="A3:C3"/>
    <mergeCell ref="D3:I3"/>
    <mergeCell ref="A4:C4"/>
    <mergeCell ref="D4:I4"/>
    <mergeCell ref="D27:H27"/>
    <mergeCell ref="D18:H18"/>
    <mergeCell ref="C19:C21"/>
    <mergeCell ref="D19:H19"/>
    <mergeCell ref="D20:H20"/>
    <mergeCell ref="D21:H21"/>
    <mergeCell ref="C22:C24"/>
    <mergeCell ref="D22:H22"/>
    <mergeCell ref="D23:H23"/>
    <mergeCell ref="A25:A27"/>
    <mergeCell ref="B25:B27"/>
    <mergeCell ref="A5:I5"/>
    <mergeCell ref="B6:F6"/>
    <mergeCell ref="B7:F7"/>
    <mergeCell ref="B10:F10"/>
    <mergeCell ref="A19:A21"/>
    <mergeCell ref="B19:B21"/>
    <mergeCell ref="L16:N16"/>
    <mergeCell ref="L29:M30"/>
    <mergeCell ref="N29:N30"/>
    <mergeCell ref="L17:N17"/>
    <mergeCell ref="A90:D90"/>
    <mergeCell ref="E90:I90"/>
    <mergeCell ref="D24:H24"/>
    <mergeCell ref="C25:C27"/>
    <mergeCell ref="D25:H25"/>
    <mergeCell ref="D26:H26"/>
    <mergeCell ref="A46:C46"/>
    <mergeCell ref="D46:I46"/>
    <mergeCell ref="A47:C47"/>
    <mergeCell ref="D47:I47"/>
    <mergeCell ref="A48:C48"/>
    <mergeCell ref="D48:I48"/>
    <mergeCell ref="C28:C30"/>
    <mergeCell ref="D28:H28"/>
    <mergeCell ref="D29:H29"/>
    <mergeCell ref="D30:H30"/>
    <mergeCell ref="C31:C32"/>
    <mergeCell ref="D31:H31"/>
    <mergeCell ref="D32:H32"/>
    <mergeCell ref="A28:A30"/>
  </mergeCells>
  <dataValidations count="3">
    <dataValidation type="list" allowBlank="1" showInputMessage="1" showErrorMessage="1" sqref="H59 I19:I36 H63:H85" xr:uid="{00000000-0002-0000-0000-000000000000}">
      <formula1>$J$51:$J$58</formula1>
    </dataValidation>
    <dataValidation type="list" allowBlank="1" showInputMessage="1" showErrorMessage="1" sqref="C31:C32 C19:C27" xr:uid="{00000000-0002-0000-0000-000001000000}">
      <formula1>"10% , 15% , 20% "</formula1>
    </dataValidation>
    <dataValidation type="list" allowBlank="1" showInputMessage="1" showErrorMessage="1" sqref="C28:C30 C33:C36" xr:uid="{00000000-0002-0000-0000-000002000000}">
      <formula1>"10% , 15% ,20% "</formula1>
    </dataValidation>
  </dataValidations>
  <printOptions horizontalCentered="1" verticalCentered="1"/>
  <pageMargins left="0.70866141732283472" right="0.70866141732283472" top="0.74803149606299213" bottom="0.74803149606299213" header="0.31496062992125984" footer="0.31496062992125984"/>
  <pageSetup paperSize="8" scale="65" orientation="portrait" r:id="rId1"/>
  <rowBreaks count="2" manualBreakCount="2">
    <brk id="40" max="9" man="1"/>
    <brk id="44" max="9" man="1"/>
  </rowBreaks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temOrder xmlns="23f5d204-ef1c-4fa6-9293-f4555bf3338d">8</itemOrder>
    <PublishingExpirationDate xmlns="http://schemas.microsoft.com/sharepoint/v3" xsi:nil="true"/>
    <PublishingStartDate xmlns="http://schemas.microsoft.com/sharepoint/v3" xsi:nil="true"/>
    <_dlc_DocId xmlns="23f5d204-ef1c-4fa6-9293-f4555bf3338d">MCSPAGE-542-15</_dlc_DocId>
    <_dlc_DocIdUrl xmlns="23f5d204-ef1c-4fa6-9293-f4555bf3338d">
      <Url>https://www.mcs.gov.sa/HR/NewPerformanceList/_layouts/DocIdRedir.aspx?ID=MCSPAGE-542-15</Url>
      <Description>MCSPAGE-542-15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726BAB0841072F439D34A3B1CE5A0598" ma:contentTypeVersion="2" ma:contentTypeDescription="إنشاء مستند جديد." ma:contentTypeScope="" ma:versionID="ce2b2600b560858f63b0b63ad6d00d4d">
  <xsd:schema xmlns:xsd="http://www.w3.org/2001/XMLSchema" xmlns:xs="http://www.w3.org/2001/XMLSchema" xmlns:p="http://schemas.microsoft.com/office/2006/metadata/properties" xmlns:ns1="http://schemas.microsoft.com/sharepoint/v3" xmlns:ns2="23f5d204-ef1c-4fa6-9293-f4555bf3338d" targetNamespace="http://schemas.microsoft.com/office/2006/metadata/properties" ma:root="true" ma:fieldsID="6c2290a97c3267a43807e065eb5f8a76" ns1:_="" ns2:_="">
    <xsd:import namespace="http://schemas.microsoft.com/sharepoint/v3"/>
    <xsd:import namespace="23f5d204-ef1c-4fa6-9293-f4555bf3338d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PublishingStartDate" minOccurs="0"/>
                <xsd:element ref="ns1:PublishingExpirationDate" minOccurs="0"/>
                <xsd:element ref="ns2:itemOrder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1" nillable="true" ma:displayName="جدولة تاريخ البدء" ma:description="" ma:hidden="true" ma:internalName="PublishingStartDate">
      <xsd:simpleType>
        <xsd:restriction base="dms:Unknown"/>
      </xsd:simpleType>
    </xsd:element>
    <xsd:element name="PublishingExpirationDate" ma:index="12" nillable="true" ma:displayName="جدولة تاريخ الانتهاء" ma:description="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f5d204-ef1c-4fa6-9293-f4555bf3338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قيمة معرّف المستند" ma:description="قيمة معرّف المستند المحددة لهذا العنصر." ma:internalName="_dlc_DocId" ma:readOnly="true">
      <xsd:simpleType>
        <xsd:restriction base="dms:Text"/>
      </xsd:simpleType>
    </xsd:element>
    <xsd:element name="_dlc_DocIdUrl" ma:index="9" nillable="true" ma:displayName="معرّف المستند" ma:description="ارتباط دائم إلى هذا المستند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itemOrder" ma:index="13" ma:displayName="الترتيب" ma:default="0" ma:internalName="itemOrder" ma:percentage="FALSE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3537D5-4FB7-47E7-983A-E1285806889C}">
  <ds:schemaRefs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http://www.w3.org/XML/1998/namespace"/>
    <ds:schemaRef ds:uri="http://schemas.microsoft.com/office/2006/documentManagement/types"/>
    <ds:schemaRef ds:uri="http://purl.org/dc/elements/1.1/"/>
    <ds:schemaRef ds:uri="23f5d204-ef1c-4fa6-9293-f4555bf3338d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3A239F5-CDD1-4530-83C6-6E86D98AD0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3f5d204-ef1c-4fa6-9293-f4555bf333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8FC94F-5096-4A5F-8B60-8307F39C9902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FA2EA26F-7C7F-4A91-A5C7-014D546A412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ميثاق الوظائف غير الاشرافية</vt:lpstr>
      <vt:lpstr>'ميثاق الوظائف غير الاشرافية'!Print_Area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نموذج ميثاق الاداء والتقييم للوظيفة غير الاشرافية 8-1-2016</dc:title>
  <dc:creator>Raed Alalwan</dc:creator>
  <cp:lastModifiedBy>IT</cp:lastModifiedBy>
  <cp:lastPrinted>2016-11-06T08:36:43Z</cp:lastPrinted>
  <dcterms:created xsi:type="dcterms:W3CDTF">2016-11-06T08:26:18Z</dcterms:created>
  <dcterms:modified xsi:type="dcterms:W3CDTF">2025-11-05T10:28:42Z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0x010100726BAB0841072F439D34A3B1CE5A0598</vt:lpwstr>
  </property>
  <property fmtid="{D5CDD505-2E9C-101B-9397-08002B2CF9AE}" pid="3" name="_dlc_DocIdItemGuid">
    <vt:lpwstr>feeff7d3-dbb2-4254-80e7-4a0d54c235ae</vt:lpwstr>
  </property>
</Properties>
</file>